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firmaciones" sheetId="2" state="visible" r:id="rId4"/>
    <sheet name="Fuentes PDF" sheetId="3" state="visible" r:id="rId5"/>
    <sheet name="Excel vs canon" sheetId="4" state="visible" r:id="rId6"/>
    <sheet name="Defectos" sheetId="5" state="visible" r:id="rId7"/>
  </sheets>
  <definedNames>
    <definedName function="false" hidden="true" localSheetId="1" name="_xlnm._FilterDatabase" vbProcedure="false">Afirmaciones!$A$4:$L$31</definedName>
    <definedName function="false" hidden="true" localSheetId="4" name="_xlnm._FilterDatabase" vbProcedure="false">Defectos!$A$4:$F$21</definedName>
    <definedName function="false" hidden="true" localSheetId="3" name="_xlnm._FilterDatabase" vbProcedure="false">'Excel vs canon'!$A$4:$D$12</definedName>
    <definedName function="false" hidden="true" localSheetId="2" name="_xlnm._FilterDatabase" vbProcedure="false">'Fuentes PDF'!$A$4:$I$30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<sst xmlns="http://schemas.openxmlformats.org/spreadsheetml/2006/main" count="707" uniqueCount="440">
  <si>
    <t xml:space="preserve">Doing Business México 2026 · trazabilidad (Design)</t>
  </si>
  <si>
    <t xml:space="preserve">Resumen calculado sobre las hojas. Nada de este libro activa fuentes ni aprueba contenido.</t>
  </si>
  <si>
    <t xml:space="preserve">Afirmaciones registradas</t>
  </si>
  <si>
    <t xml:space="preserve">· riesgo alto</t>
  </si>
  <si>
    <t xml:space="preserve">· sin referencia en el cuerpo</t>
  </si>
  <si>
    <t xml:space="preserve">· aprobadas en KL</t>
  </si>
  <si>
    <t xml:space="preserve">Fuentes en el directorio del PDF</t>
  </si>
  <si>
    <t xml:space="preserve">Defectos</t>
  </si>
  <si>
    <t xml:space="preserve">· sustantivos (requieren PO/validación)</t>
  </si>
  <si>
    <t xml:space="preserve">· de maquetación (resueltos por el generador)</t>
  </si>
  <si>
    <t xml:space="preserve">Doing Business México 2026 · matriz de trazabilidad</t>
  </si>
  <si>
    <t xml:space="preserve">Fuente: PDF v3 EN (sha 9a98…). Ninguna afirmación está aprobada en KL; 'Estado' solo cambia por aprobación en KL Admin. Texto citado literal del PDF.</t>
  </si>
  <si>
    <t xml:space="preserve">ID</t>
  </si>
  <si>
    <t xml:space="preserve">Página</t>
  </si>
  <si>
    <t xml:space="preserve">Pilar</t>
  </si>
  <si>
    <t xml:space="preserve">Contenido (literal o resumen fiel)</t>
  </si>
  <si>
    <t xml:space="preserve">Tipo</t>
  </si>
  <si>
    <t xml:space="preserve">Fuente indicada en el PDF</t>
  </si>
  <si>
    <t xml:space="preserve">Fuente oficial exacta por verificar</t>
  </si>
  <si>
    <t xml:space="preserve">Periodo</t>
  </si>
  <si>
    <t xml:space="preserve">Licencia / derechos</t>
  </si>
  <si>
    <t xml:space="preserve">Riesgo</t>
  </si>
  <si>
    <t xml:space="preserve">Revisión requerida</t>
  </si>
  <si>
    <t xml:space="preserve">Estado</t>
  </si>
  <si>
    <t xml:space="preserve">DB-C001</t>
  </si>
  <si>
    <t xml:space="preserve">Resumen</t>
  </si>
  <si>
    <t xml:space="preserve">Population 130.9M (2025)</t>
  </si>
  <si>
    <t xml:space="preserve">Cifra</t>
  </si>
  <si>
    <t xml:space="preserve">[01] (enlace IGAE)</t>
  </si>
  <si>
    <t xml:space="preserve">INEGI · estimación de población 2025 (dataset exacto por confirmar)</t>
  </si>
  <si>
    <t xml:space="preserve">2025</t>
  </si>
  <si>
    <t xml:space="preserve">Términos INEGI: uso comercial con atribución</t>
  </si>
  <si>
    <t xml:space="preserve">Medio</t>
  </si>
  <si>
    <t xml:space="preserve">Validación de dato (nivel 1)</t>
  </si>
  <si>
    <t xml:space="preserve">Por verificar</t>
  </si>
  <si>
    <t xml:space="preserve">DB-C002</t>
  </si>
  <si>
    <t xml:space="preserve">Real GDP 1.9% y/y, Q2 2026 (repite p4)</t>
  </si>
  <si>
    <t xml:space="preserve">INEGI · PIB trimestral, cifra revisada Q2-2026</t>
  </si>
  <si>
    <t xml:space="preserve">2T-2026</t>
  </si>
  <si>
    <t xml:space="preserve">DB-C003</t>
  </si>
  <si>
    <t xml:space="preserve">Annual inflation 3.45%, Sep 2026</t>
  </si>
  <si>
    <t xml:space="preserve">INEGI · INPC, variación anual sep-2026</t>
  </si>
  <si>
    <t xml:space="preserve">Sep-2026</t>
  </si>
  <si>
    <t xml:space="preserve">DB-C004</t>
  </si>
  <si>
    <t xml:space="preserve">Policy rate 6.50%, 24 Sep 2026</t>
  </si>
  <si>
    <t xml:space="preserve">[02]</t>
  </si>
  <si>
    <t xml:space="preserve">Banxico · comunicado 24-sep-2026 / SIE SF61745</t>
  </si>
  <si>
    <t xml:space="preserve">24-sep-2026</t>
  </si>
  <si>
    <t xml:space="preserve">DB-C005</t>
  </si>
  <si>
    <t xml:space="preserve">USMCA not renewed in its existing form at July review; remains in force; US opened public consultation for 2027 review</t>
  </si>
  <si>
    <t xml:space="preserve">Afirmación</t>
  </si>
  <si>
    <t xml:space="preserve">Ninguna en el cuerpo ([04],[05] solo en directorio)</t>
  </si>
  <si>
    <t xml:space="preserve">USTR comunicados jul/oct-2026; contraparte oficial SE</t>
  </si>
  <si>
    <t xml:space="preserve">Jul–Oct 2026</t>
  </si>
  <si>
    <t xml:space="preserve">USTR: dominio público EE. UU. (verificar)</t>
  </si>
  <si>
    <t xml:space="preserve">Revisión editorial + fuente</t>
  </si>
  <si>
    <t xml:space="preserve">DB-C006</t>
  </si>
  <si>
    <t xml:space="preserve">Mexico began a statutory transition toward a 40-hour workweek by 2030 (detalle en p11)</t>
  </si>
  <si>
    <t xml:space="preserve">Norma</t>
  </si>
  <si>
    <t xml:space="preserve">Ninguna en el cuerpo ([12] en directorio)</t>
  </si>
  <si>
    <t xml:space="preserve">Decreto DOF + LFT reformada</t>
  </si>
  <si>
    <t xml:space="preserve">2026–2030</t>
  </si>
  <si>
    <t xml:space="preserve">DOF: reproducción con fines de lucro requiere consentimiento SEGOB (R17)</t>
  </si>
  <si>
    <t xml:space="preserve">Alto</t>
  </si>
  <si>
    <t xml:space="preserve">Validación especializada (nivel 3)</t>
  </si>
  <si>
    <t xml:space="preserve">DB-C007</t>
  </si>
  <si>
    <t xml:space="preserve">01 Mercado</t>
  </si>
  <si>
    <t xml:space="preserve">Unemployment rate 2.7%, Aug 2026</t>
  </si>
  <si>
    <t xml:space="preserve">INEGI · ENOE mensual ago-2026 ([22] es la fuente correcta)</t>
  </si>
  <si>
    <t xml:space="preserve">Ago-2026</t>
  </si>
  <si>
    <t xml:space="preserve">DB-C008</t>
  </si>
  <si>
    <t xml:space="preserve">Population roughly 131 million (redondeo de 130.9M)</t>
  </si>
  <si>
    <t xml:space="preserve">Ninguna</t>
  </si>
  <si>
    <t xml:space="preserve">Igual que la población de p3</t>
  </si>
  <si>
    <t xml:space="preserve">DB-C009</t>
  </si>
  <si>
    <t xml:space="preserve">FDI US$34.97 billion, H1 2026</t>
  </si>
  <si>
    <t xml:space="preserve">Ninguna ([03] en directorio)</t>
  </si>
  <si>
    <t xml:space="preserve">SE · estadística oficial de IED 1S-2026</t>
  </si>
  <si>
    <t xml:space="preserve">1S-2026</t>
  </si>
  <si>
    <t xml:space="preserve">DB-C010</t>
  </si>
  <si>
    <t xml:space="preserve">FDI composition: reinvested 88.5%, new 7.8%, intercompany 3.7%</t>
  </si>
  <si>
    <t xml:space="preserve">DB-C011</t>
  </si>
  <si>
    <t xml:space="preserve">Manufacturing 38.6% of H1 2026 FDI</t>
  </si>
  <si>
    <t xml:space="preserve">DB-C012</t>
  </si>
  <si>
    <t xml:space="preserve">02 Entrada</t>
  </si>
  <si>
    <t xml:space="preserve">Common entities: S.A. de C.V. and S. de R.L. de C.V.</t>
  </si>
  <si>
    <t xml:space="preserve">LGSM (LeyesBiblio)</t>
  </si>
  <si>
    <t xml:space="preserve">Vigente</t>
  </si>
  <si>
    <t xml:space="preserve">DB-C013</t>
  </si>
  <si>
    <t xml:space="preserve">RNIE registration or notices when legally required</t>
  </si>
  <si>
    <t xml:space="preserve">Ninguna ([06],[25] en directorio)</t>
  </si>
  <si>
    <t xml:space="preserve">LIE + RNIE (SE)</t>
  </si>
  <si>
    <t xml:space="preserve">DB-C014</t>
  </si>
  <si>
    <t xml:space="preserve">03 Fiscal</t>
  </si>
  <si>
    <t xml:space="preserve">Corporate income tax 30%</t>
  </si>
  <si>
    <t xml:space="preserve">[07] (SAT wwwmat)</t>
  </si>
  <si>
    <t xml:space="preserve">LISR art. 9 (LeyesBiblio / DOF)</t>
  </si>
  <si>
    <t xml:space="preserve">Vigente 2026</t>
  </si>
  <si>
    <t xml:space="preserve">DB-C015</t>
  </si>
  <si>
    <t xml:space="preserve">General VAT 16%; exceptions apply</t>
  </si>
  <si>
    <t xml:space="preserve">[08] (SAT wwwmatnp)</t>
  </si>
  <si>
    <t xml:space="preserve">LIVA art. 1 (LeyesBiblio / DOF)</t>
  </si>
  <si>
    <t xml:space="preserve">DB-C016</t>
  </si>
  <si>
    <t xml:space="preserve">Dividend withholding 10%, general nonresident rule</t>
  </si>
  <si>
    <t xml:space="preserve">[09] (SAT wwwmat)</t>
  </si>
  <si>
    <t xml:space="preserve">LISR art. 164 (LeyesBiblio / DOF)</t>
  </si>
  <si>
    <t xml:space="preserve">DB-C017</t>
  </si>
  <si>
    <t xml:space="preserve">04 Talento</t>
  </si>
  <si>
    <t xml:space="preserve">IMSS 22.93 million affiliated jobs, Sep 2026</t>
  </si>
  <si>
    <t xml:space="preserve">[10] (boletín)</t>
  </si>
  <si>
    <t xml:space="preserve">IMSS datos abiertos, puestos de trabajo afiliados sep-2026</t>
  </si>
  <si>
    <t xml:space="preserve">DB-C018</t>
  </si>
  <si>
    <t xml:space="preserve">General minimum daily wage MXN 315.04 (2026)</t>
  </si>
  <si>
    <t xml:space="preserve">Norma/cifra</t>
  </si>
  <si>
    <t xml:space="preserve">[11] (host QA sidofqa)</t>
  </si>
  <si>
    <t xml:space="preserve">Resolución CONASAMI 2026 en DOF producción</t>
  </si>
  <si>
    <t xml:space="preserve">2026</t>
  </si>
  <si>
    <t xml:space="preserve">DB-C019</t>
  </si>
  <si>
    <t xml:space="preserve">Northern border-zone minimum MXN 440.87 (2026)</t>
  </si>
  <si>
    <t xml:space="preserve">DB-C020</t>
  </si>
  <si>
    <t xml:space="preserve">Statutory minimum annual bonus 15 days of pay</t>
  </si>
  <si>
    <t xml:space="preserve">Ninguna ([13] orientación en directorio)</t>
  </si>
  <si>
    <t xml:space="preserve">LFT art. 87</t>
  </si>
  <si>
    <t xml:space="preserve">DB-C021</t>
  </si>
  <si>
    <t xml:space="preserve">First-year annual vacation at least 12 working days</t>
  </si>
  <si>
    <t xml:space="preserve">Ninguna ([23] orientación en directorio)</t>
  </si>
  <si>
    <t xml:space="preserve">LFT art. 76</t>
  </si>
  <si>
    <t xml:space="preserve">DB-C022</t>
  </si>
  <si>
    <t xml:space="preserve">Vacation premium at least 25%</t>
  </si>
  <si>
    <t xml:space="preserve">LFT art. 80</t>
  </si>
  <si>
    <t xml:space="preserve">DB-C023</t>
  </si>
  <si>
    <t xml:space="preserve">Phased reduction of maximum ordinary workweek 48 h (2026) → 46/44/42 → 40 h (2030)</t>
  </si>
  <si>
    <t xml:space="preserve">Ninguna ([12] en directorio)</t>
  </si>
  <si>
    <t xml:space="preserve">Decreto DOF + transitorios LFT</t>
  </si>
  <si>
    <t xml:space="preserve">DB-C024</t>
  </si>
  <si>
    <t xml:space="preserve">Reduction without reducing wages or benefits</t>
  </si>
  <si>
    <t xml:space="preserve">Decreto DOF (texto de transitorios)</t>
  </si>
  <si>
    <t xml:space="preserve">DB-C025</t>
  </si>
  <si>
    <t xml:space="preserve">05 Ubicación</t>
  </si>
  <si>
    <t xml:space="preserve">SICT 2025 transport yearbook and Banxico 2026 regional report frame regional differences</t>
  </si>
  <si>
    <t xml:space="preserve">Ninguna en el cuerpo ([15],[16] en directorio)</t>
  </si>
  <si>
    <t xml:space="preserve">SICT anuario 2025; Banxico reporte regional abr-jun 2026</t>
  </si>
  <si>
    <t xml:space="preserve">2025–2026</t>
  </si>
  <si>
    <t xml:space="preserve">DB-C026</t>
  </si>
  <si>
    <t xml:space="preserve">IMCO state report mentioned as optional annex</t>
  </si>
  <si>
    <t xml:space="preserve">Ninguna ([14] en directorio)</t>
  </si>
  <si>
    <t xml:space="preserve">IMCO ICE 2026 (S02 candidata)</t>
  </si>
  <si>
    <t xml:space="preserve">DB-C027</t>
  </si>
  <si>
    <t xml:space="preserve">06 Regulatorio</t>
  </si>
  <si>
    <t xml:space="preserve">Primary gates: SE, SAT, IMSS/STPS, SAT/ANAM/VUCEM, IMPI</t>
  </si>
  <si>
    <t xml:space="preserve">Leyes de competencia de cada autoridad</t>
  </si>
  <si>
    <t xml:space="preserve">Directorio de fuentes del PDF (p19) · reconciliación</t>
  </si>
  <si>
    <t xml:space="preserve">Enlaces extraídos del PDF (26 anotaciones, todas en p19). Los marcadores del cuerpo no son enlaces. IDs del Excel y del canon sin renombrar.</t>
  </si>
  <si>
    <t xml:space="preserve">Ref</t>
  </si>
  <si>
    <t xml:space="preserve">Título en el PDF</t>
  </si>
  <si>
    <t xml:space="preserve">URL en el PDF</t>
  </si>
  <si>
    <t xml:space="preserve">Tipo de recurso</t>
  </si>
  <si>
    <t xml:space="preserve">Hallazgo</t>
  </si>
  <si>
    <t xml:space="preserve">Fuente oficial a usar</t>
  </si>
  <si>
    <t xml:space="preserve">ID Excel (MX-S..)</t>
  </si>
  <si>
    <t xml:space="preserve">ID canónico (S/R) propuesto</t>
  </si>
  <si>
    <t xml:space="preserve">01</t>
  </si>
  <si>
    <t xml:space="preserve">INEGI - Key national indicators</t>
  </si>
  <si>
    <t xml:space="preserve">https://www.inegi.org.mx/igae</t>
  </si>
  <si>
    <t xml:space="preserve">IGAE (actividad económica)</t>
  </si>
  <si>
    <t xml:space="preserve">Se usa para población, PIB, inflación y desempleo: 4 datasets distintos bajo un enlace de IGAE</t>
  </si>
  <si>
    <t xml:space="preserve">Separar: población (INEGI estimación 2025), PIB trimestral, INPC, ENOE mensual</t>
  </si>
  <si>
    <t xml:space="preserve">MX-S01</t>
  </si>
  <si>
    <t xml:space="preserve">R4 / R5 / S05 (por dataset)</t>
  </si>
  <si>
    <t xml:space="preserve">02</t>
  </si>
  <si>
    <t xml:space="preserve">Banco de Mexico - Monetary policy decisions, Sep 2026</t>
  </si>
  <si>
    <t xml:space="preserve">https://www.banxico.org.mx/publications-and-press/announcements-of-monetary-policy-decisions/monetary-policy-announcements.html</t>
  </si>
  <si>
    <t xml:space="preserve">Índice de comunicados</t>
  </si>
  <si>
    <t xml:space="preserve">Enlace al índice, no al comunicado del 24-sep-2026</t>
  </si>
  <si>
    <t xml:space="preserve">Comunicado específico + serie SF61745 (SIE)</t>
  </si>
  <si>
    <t xml:space="preserve">Bajo</t>
  </si>
  <si>
    <t xml:space="preserve">MX-S02</t>
  </si>
  <si>
    <t xml:space="preserve">S07 / R9</t>
  </si>
  <si>
    <t xml:space="preserve">03</t>
  </si>
  <si>
    <t xml:space="preserve">Secretariat of Economy - FDI H1 2026</t>
  </si>
  <si>
    <t xml:space="preserve">https://www.gob.mx/se/prensa/mexico-registra-un-maximo-historico-de-inversion-extranjera-directa-ied-para-un-primer-semestre-34-mil-968-millones-de-dolares-en-2026?idiom=en</t>
  </si>
  <si>
    <t xml:space="preserve">Comunicado de prensa</t>
  </si>
  <si>
    <t xml:space="preserve">Sin marcador en el cuerpo (p5); comunicado, no estadística oficial</t>
  </si>
  <si>
    <t xml:space="preserve">Estadística oficial de IED (SE, trimestral) para cifras y composición</t>
  </si>
  <si>
    <t xml:space="preserve">MX-S06</t>
  </si>
  <si>
    <t xml:space="preserve">R10</t>
  </si>
  <si>
    <t xml:space="preserve">04</t>
  </si>
  <si>
    <t xml:space="preserve">USTR - USMCA Joint Review statement</t>
  </si>
  <si>
    <t xml:space="preserve">https://ustr.gov/about/policy-offices/press-office/press-releases/2026/july/ambassador-greer-issues-statement-usmca-joint-review</t>
  </si>
  <si>
    <t xml:space="preserve">Comunicado de gobierno extranjero</t>
  </si>
  <si>
    <t xml:space="preserve">Sin marcador en p3/p5; fuente no mexicana fuera del Excel</t>
  </si>
  <si>
    <t xml:space="preserve">Confirmar texto del comunicado; decidir alta en el registro</t>
  </si>
  <si>
    <t xml:space="preserve">— (no está)</t>
  </si>
  <si>
    <t xml:space="preserve">05</t>
  </si>
  <si>
    <t xml:space="preserve">USTR - Public consultation for 2027 USMCA joint review</t>
  </si>
  <si>
    <t xml:space="preserve">https://www.ustr.gov/about/policy-offices/press-office/press-releases/2026/october/ustr-seeks-public-comment-2027-joint-review-usmca</t>
  </si>
  <si>
    <t xml:space="preserve">Sin marcador; igual que [04]</t>
  </si>
  <si>
    <t xml:space="preserve">Igual que [04]</t>
  </si>
  <si>
    <t xml:space="preserve">06</t>
  </si>
  <si>
    <t xml:space="preserve">Secretariat of Economy - FDI framework and RNIE</t>
  </si>
  <si>
    <t xml:space="preserve">https://www.gob.mx/se/acciones-y-programas/competitividad-y-normatividad-inversion-extranjera-directa</t>
  </si>
  <si>
    <t xml:space="preserve">Página informativa</t>
  </si>
  <si>
    <t xml:space="preserve">Sin marcador en el cuerpo</t>
  </si>
  <si>
    <t xml:space="preserve">LIE (LeyesBiblio) + RNIE</t>
  </si>
  <si>
    <t xml:space="preserve">R21</t>
  </si>
  <si>
    <t xml:space="preserve">07</t>
  </si>
  <si>
    <t xml:space="preserve">SAT - Corporate income tax, ISR Law Art. 9</t>
  </si>
  <si>
    <t xml:space="preserve">https://wwwmat.sat.gob.mx/articulo/93578/articulo-9</t>
  </si>
  <si>
    <t xml:space="preserve">Reproducción del SAT de la LISR</t>
  </si>
  <si>
    <t xml:space="preserve">Evidencia normativa servida por host SAT 'wwwmat'</t>
  </si>
  <si>
    <t xml:space="preserve">LISR art. 9 en LeyesBiblio (texto vigente) / DOF</t>
  </si>
  <si>
    <t xml:space="preserve">MX-S07 / MX-S09</t>
  </si>
  <si>
    <t xml:space="preserve">R18</t>
  </si>
  <si>
    <t xml:space="preserve">08</t>
  </si>
  <si>
    <t xml:space="preserve">SAT - General VAT rate, VAT Law Art. 1</t>
  </si>
  <si>
    <t xml:space="preserve">https://wwwmatnp.sat.gob.mx/articulo/19848/articulo-1</t>
  </si>
  <si>
    <t xml:space="preserve">Reproducción del SAT de la LIVA</t>
  </si>
  <si>
    <t xml:space="preserve">Igual que [07]; host 'wwwmatnp'</t>
  </si>
  <si>
    <t xml:space="preserve">LIVA art. 1 en LeyesBiblio / DOF</t>
  </si>
  <si>
    <t xml:space="preserve">09</t>
  </si>
  <si>
    <t xml:space="preserve">SAT - Dividends paid to nonresidents, ISR Law Art. 164</t>
  </si>
  <si>
    <t xml:space="preserve">https://wwwmat.sat.gob.mx/articulo/76538/articulo-164</t>
  </si>
  <si>
    <t xml:space="preserve">Igual que [07]</t>
  </si>
  <si>
    <t xml:space="preserve">LISR art. 164 en LeyesBiblio / DOF</t>
  </si>
  <si>
    <t xml:space="preserve">10</t>
  </si>
  <si>
    <t xml:space="preserve">IMSS - Formal employment, Sep 2026</t>
  </si>
  <si>
    <t xml:space="preserve">https://www.imss.gob.mx/prensa/archivo/202610/539</t>
  </si>
  <si>
    <t xml:space="preserve">Boletín de prensa</t>
  </si>
  <si>
    <t xml:space="preserve">Comunicado; la cifra debe venir del dataset</t>
  </si>
  <si>
    <t xml:space="preserve">IMSS datos abiertos, puestos afiliados sep-2026</t>
  </si>
  <si>
    <t xml:space="preserve">MX-S03</t>
  </si>
  <si>
    <t xml:space="preserve">S09 / R12</t>
  </si>
  <si>
    <t xml:space="preserve">11</t>
  </si>
  <si>
    <t xml:space="preserve">Official Gazette - 2026 minimum wage resolution</t>
  </si>
  <si>
    <t xml:space="preserve">https://sidofqa.segob.gob.mx/notas/docFuente/5775534</t>
  </si>
  <si>
    <t xml:space="preserve">DOF</t>
  </si>
  <si>
    <t xml:space="preserve">Host de QA (sidofqa), no producción</t>
  </si>
  <si>
    <t xml:space="preserve">Resolución CONASAMI en sidof.segob.gob.mx / dof.gob.mx</t>
  </si>
  <si>
    <t xml:space="preserve">MX-S08 / MX-S11</t>
  </si>
  <si>
    <t xml:space="preserve">R24 / R17</t>
  </si>
  <si>
    <t xml:space="preserve">12</t>
  </si>
  <si>
    <t xml:space="preserve">Official Gazette - 2026 labor-hour reduction decree</t>
  </si>
  <si>
    <t xml:space="preserve">https://sidof.segob.gob.mx/notas/5786537</t>
  </si>
  <si>
    <t xml:space="preserve">Sin marcador en p3/p11; calendario 48→40 sin referencia</t>
  </si>
  <si>
    <t xml:space="preserve">Decreto en DOF + LFT reformada (LeyesBiblio)</t>
  </si>
  <si>
    <t xml:space="preserve">MX-S08</t>
  </si>
  <si>
    <t xml:space="preserve">R17 / R25</t>
  </si>
  <si>
    <t xml:space="preserve">13</t>
  </si>
  <si>
    <t xml:space="preserve">STPS / PROFEDET - Statutory annual bonus</t>
  </si>
  <si>
    <t xml:space="preserve">https://www.gob.mx/stps/es/articulos/la-profedet-es-tu-aliada-en-el-pago-del-aguinaldo-conoce-todo-sobre-este-tema-y-haz-valer-tu-derecho-183140?idiom=es</t>
  </si>
  <si>
    <t xml:space="preserve">Orientación</t>
  </si>
  <si>
    <t xml:space="preserve">No es la norma; sin marcador en p10</t>
  </si>
  <si>
    <t xml:space="preserve">LFT art. 87 (LeyesBiblio)</t>
  </si>
  <si>
    <t xml:space="preserve">MX-S10</t>
  </si>
  <si>
    <t xml:space="preserve">R25</t>
  </si>
  <si>
    <t xml:space="preserve">14</t>
  </si>
  <si>
    <t xml:space="preserve">IMCO - State Competitiveness Index 2026</t>
  </si>
  <si>
    <t xml:space="preserve">https://indices.imco.org.mx/indice-de-competitividad-estatal-2026</t>
  </si>
  <si>
    <t xml:space="preserve">Índice de intermediario</t>
  </si>
  <si>
    <t xml:space="preserve">Canon: S02 candidata, requiere revisión humana por cambio metodológico (A05) y derechos de reproducción</t>
  </si>
  <si>
    <t xml:space="preserve">Usar solo como contexto citado; no cifras estatales</t>
  </si>
  <si>
    <t xml:space="preserve">MX-S04</t>
  </si>
  <si>
    <t xml:space="preserve">S02 / R2</t>
  </si>
  <si>
    <t xml:space="preserve">15</t>
  </si>
  <si>
    <t xml:space="preserve">Banxico - Regional Economic Reports, Apr-Jun 2026</t>
  </si>
  <si>
    <t xml:space="preserve">https://www.banxico.org.mx/publicaciones-y-prensa/reportes-sobre-las-economias-regionales/reportes-economias-regionales.html</t>
  </si>
  <si>
    <t xml:space="preserve">Índice de reportes</t>
  </si>
  <si>
    <t xml:space="preserve">Enlace al índice</t>
  </si>
  <si>
    <t xml:space="preserve">Reporte abr-jun 2026 específico</t>
  </si>
  <si>
    <t xml:space="preserve">S08</t>
  </si>
  <si>
    <t xml:space="preserve">16</t>
  </si>
  <si>
    <t xml:space="preserve">SICT - Statistical yearbook transport &amp; infrastructure</t>
  </si>
  <si>
    <t xml:space="preserve">https://www.gob.mx/sict/documentos/anuario-estadistico-del-sector-de-infraestructura-comunicaciones-y-transportes-2025</t>
  </si>
  <si>
    <t xml:space="preserve">Anuario</t>
  </si>
  <si>
    <t xml:space="preserve">Sin hallazgo</t>
  </si>
  <si>
    <t xml:space="preserve">—</t>
  </si>
  <si>
    <t xml:space="preserve">MX-S17</t>
  </si>
  <si>
    <t xml:space="preserve">17</t>
  </si>
  <si>
    <t xml:space="preserve">VUCEM - Single window</t>
  </si>
  <si>
    <t xml:space="preserve">https://www.ventanillaunica.gob.mx/vucem/</t>
  </si>
  <si>
    <t xml:space="preserve">Portal</t>
  </si>
  <si>
    <t xml:space="preserve">Portal, no fuente de afirmaciones</t>
  </si>
  <si>
    <t xml:space="preserve">MX-S15</t>
  </si>
  <si>
    <t xml:space="preserve">R31 (parcial)</t>
  </si>
  <si>
    <t xml:space="preserve">18</t>
  </si>
  <si>
    <t xml:space="preserve">SAT - Corporate RFC registration with public certifier</t>
  </si>
  <si>
    <t xml:space="preserve">https://www.gob.mx/tramites/ficha/inscripcion-en-el-rfc-de-personas-morales-a-traves-de-fedatario-publico-por-medios-remotos/SAT285</t>
  </si>
  <si>
    <t xml:space="preserve">Ficha de trámite</t>
  </si>
  <si>
    <t xml:space="preserve">Sin marcador</t>
  </si>
  <si>
    <t xml:space="preserve">MX-S07</t>
  </si>
  <si>
    <t xml:space="preserve">S10 / R34</t>
  </si>
  <si>
    <t xml:space="preserve">19</t>
  </si>
  <si>
    <t xml:space="preserve">IMSS - Corporate employer registration</t>
  </si>
  <si>
    <t xml:space="preserve">https://www.imss.gob.mx/tramites/imss02001c</t>
  </si>
  <si>
    <t xml:space="preserve">R27</t>
  </si>
  <si>
    <t xml:space="preserve">20</t>
  </si>
  <si>
    <t xml:space="preserve">IMPI - Trademark basics</t>
  </si>
  <si>
    <t xml:space="preserve">https://www.gob.mx/impi/acciones-y-programas/temas-de-interes-preguntas-frecuentes-marcas</t>
  </si>
  <si>
    <t xml:space="preserve">LPPI (LeyesBiblio) si se afirma algo normativo</t>
  </si>
  <si>
    <t xml:space="preserve">MX-S14</t>
  </si>
  <si>
    <t xml:space="preserve">R33 (parcial)</t>
  </si>
  <si>
    <t xml:space="preserve">21</t>
  </si>
  <si>
    <t xml:space="preserve">INEGI - DENUE</t>
  </si>
  <si>
    <t xml:space="preserve">https://www.inegi.org.mx/app/mapa/denue/</t>
  </si>
  <si>
    <t xml:space="preserve">Directorio</t>
  </si>
  <si>
    <t xml:space="preserve">S04 / R7</t>
  </si>
  <si>
    <t xml:space="preserve">22</t>
  </si>
  <si>
    <t xml:space="preserve">INEGI - ENOE 2026</t>
  </si>
  <si>
    <t xml:space="preserve">https://www.inegi.org.mx/programas/ENOE/15ymas/</t>
  </si>
  <si>
    <t xml:space="preserve">Encuesta</t>
  </si>
  <si>
    <t xml:space="preserve">Sin marcador; debería respaldar el desempleo de p4</t>
  </si>
  <si>
    <t xml:space="preserve">S05</t>
  </si>
  <si>
    <t xml:space="preserve">23</t>
  </si>
  <si>
    <t xml:space="preserve">PROFEDET - Vacation entitlement</t>
  </si>
  <si>
    <t xml:space="preserve">https://profedet.gob.mx/micrositio/index.php/vacaciones</t>
  </si>
  <si>
    <t xml:space="preserve">LFT arts. 76 y 80 (LeyesBiblio)</t>
  </si>
  <si>
    <t xml:space="preserve">24</t>
  </si>
  <si>
    <t xml:space="preserve">IMSS - Employer portal</t>
  </si>
  <si>
    <t xml:space="preserve">https://www.imss.gob.mx/imssdigital/</t>
  </si>
  <si>
    <t xml:space="preserve">25</t>
  </si>
  <si>
    <t xml:space="preserve">SE - RNIE company registration</t>
  </si>
  <si>
    <t xml:space="preserve">https://www.gob.mx/se/acciones-y-programas/solicitud-de-inscripcion-en-el-registro-nacional-de-inversiones-extranjeras-de-sociedades-mexicanas-con-inversion-extranjera-se-02-001-b</t>
  </si>
  <si>
    <t xml:space="preserve">26</t>
  </si>
  <si>
    <t xml:space="preserve">SAT - Corporate RFC office registration</t>
  </si>
  <si>
    <t xml:space="preserve">https://www.gob.mx/tramites/ficha/inscripcion-en-el-rfc-de-personas-morales-en-las-oficinas-del-sat/SAT127</t>
  </si>
  <si>
    <t xml:space="preserve">Registro curado (Excel v2) frente al Source Registry canónico</t>
  </si>
  <si>
    <t xml:space="preserve">Ningún ID se cambia. Resultado: correspondencia + decisiones abiertas.</t>
  </si>
  <si>
    <t xml:space="preserve">Excel v2</t>
  </si>
  <si>
    <t xml:space="preserve">Canon KL</t>
  </si>
  <si>
    <t xml:space="preserve">Diferencia</t>
  </si>
  <si>
    <t xml:space="preserve">Propuesta</t>
  </si>
  <si>
    <t xml:space="preserve">MX-S01..S18 (instituciones)</t>
  </si>
  <si>
    <t xml:space="preserve">S01–S10 (publicaciones) y R1–R34 (registro amplio)</t>
  </si>
  <si>
    <t xml:space="preserve">Mismo prefijo 'S' con significado distinto (MX-S01 = INEGI; S01 = IMCO ICE 2025)</t>
  </si>
  <si>
    <t xml:space="preserve">Tabla de correspondencia; no renombrar. Prefijo MX- se conserva como ID de institución del Excel</t>
  </si>
  <si>
    <t xml:space="preserve">MX-D001..D038 (datasets)</t>
  </si>
  <si>
    <t xml:space="preserve">Publicaciones candidatas</t>
  </si>
  <si>
    <t xml:space="preserve">Granularidad equivalente a S/R por publicación</t>
  </si>
  <si>
    <t xml:space="preserve">Cada MX-D entra como publicación candidata con alcance; ninguna activa</t>
  </si>
  <si>
    <t xml:space="preserve">Estado 'Verificada – registro fuente'</t>
  </si>
  <si>
    <t xml:space="preserve">Aprobación en KL Admin</t>
  </si>
  <si>
    <t xml:space="preserve">No equivale a aprobación</t>
  </si>
  <si>
    <t xml:space="preserve">Mapear a 'Verificada (registro)'; aprobación solo en KL</t>
  </si>
  <si>
    <t xml:space="preserve">STPS general, INM, VUCEM portal, Coord. Gral. de Puertos, anuario SICT, IMCO ICR, CNBV (opcional), PROFEDET, USTR</t>
  </si>
  <si>
    <t xml:space="preserve">Nuevas frente al canon</t>
  </si>
  <si>
    <t xml:space="preserve">Alta como candidatas tras decisión del PO; USTR y PROFEDET son citadas por el PDF</t>
  </si>
  <si>
    <t xml:space="preserve">UMA, ENCRIGE, Data México, CCE/CEESP, OCDE, B-READY, RMF/RGCE, ISN estatal, SAS, SIGER, REPSE, SNICE/TIGIE, ATTRAPI, MARCANET</t>
  </si>
  <si>
    <t xml:space="preserve">Faltan en el Excel</t>
  </si>
  <si>
    <t xml:space="preserve">Mantener en canon; no se pierden</t>
  </si>
  <si>
    <t xml:space="preserve">Rules R05/R21: publicar cada 6 meses</t>
  </si>
  <si>
    <t xml:space="preserve">D22 publicación conjunta; README punto 6</t>
  </si>
  <si>
    <t xml:space="preserve">Conflicto de calendario</t>
  </si>
  <si>
    <t xml:space="preserve">Resuelto (PO-6, 16-oct-2026): periodicidad seleccionable kl.cadence; DB = semestral; sin monitoreo diario; edición solo con cambios aprobados</t>
  </si>
  <si>
    <t xml:space="preserve">Coverage: 'PDF en inglés primero, español después'</t>
  </si>
  <si>
    <t xml:space="preserve">D22 / PO-3: aprobación conjunta ES/EN</t>
  </si>
  <si>
    <t xml:space="preserve">Conflicto de idioma</t>
  </si>
  <si>
    <t xml:space="preserve">Resuelto: ES maestro + EN equivalente, publicación conjunta (D22)</t>
  </si>
  <si>
    <t xml:space="preserve">DOF como fuente</t>
  </si>
  <si>
    <t xml:space="preserve">R17: reproducción con lucro requiere consentimiento SEGOB</t>
  </si>
  <si>
    <t xml:space="preserve">Derechos</t>
  </si>
  <si>
    <t xml:space="preserve">Citar y enlazar, no reproducir texto extenso</t>
  </si>
  <si>
    <t xml:space="preserve">Defectos editoriales y de composición (F)</t>
  </si>
  <si>
    <t xml:space="preserve">'Maquetación' lo resuelve el generador sin tocar contenido; 'Sustantivo' requiere decisión o validación.</t>
  </si>
  <si>
    <t xml:space="preserve">Área</t>
  </si>
  <si>
    <t xml:space="preserve">Defecto</t>
  </si>
  <si>
    <t xml:space="preserve">Clase</t>
  </si>
  <si>
    <t xml:space="preserve">Tratamiento</t>
  </si>
  <si>
    <t xml:space="preserve">D01</t>
  </si>
  <si>
    <t xml:space="preserve">Composición</t>
  </si>
  <si>
    <t xml:space="preserve">Texto oculto bajo cajas: 'COUNTRY INTELLIGENCE / EXECUTIVE EDITION', 'FIRST EDITION', 'DATA CUTOFF 15 OCTOBER 2026', 'Updated every six months'</t>
  </si>
  <si>
    <t xml:space="preserve">Maquetación (el último contradice el README: sustantivo)</t>
  </si>
  <si>
    <t xml:space="preserve">Eliminar en la composición; la frecuencia la decide el PO</t>
  </si>
  <si>
    <t xml:space="preserve">D02</t>
  </si>
  <si>
    <t xml:space="preserve">Título anterior oculto 'Working-time reform … capacity planning' superpuesto</t>
  </si>
  <si>
    <t xml:space="preserve">Maquetación</t>
  </si>
  <si>
    <t xml:space="preserve">Un solo título del contenido autorizado</t>
  </si>
  <si>
    <t xml:space="preserve">D03</t>
  </si>
  <si>
    <t xml:space="preserve">14–15</t>
  </si>
  <si>
    <t xml:space="preserve">Eyebrow anterior '06 / REGULATORY REQUIREMENTS &amp; READINESS' superpuesto</t>
  </si>
  <si>
    <t xml:space="preserve">Eyebrow del pilar generado</t>
  </si>
  <si>
    <t xml:space="preserve">D04</t>
  </si>
  <si>
    <t xml:space="preserve">'Start with Discovery' duplicado; falta el número 01 del journey</t>
  </si>
  <si>
    <t xml:space="preserve">Componente journey numerado</t>
  </si>
  <si>
    <t xml:space="preserve">D05</t>
  </si>
  <si>
    <t xml:space="preserve">Hueco a mitad del Key Insight</t>
  </si>
  <si>
    <t xml:space="preserve">Bloque key_insight sin cortes</t>
  </si>
  <si>
    <t xml:space="preserve">D06</t>
  </si>
  <si>
    <t xml:space="preserve">varias</t>
  </si>
  <si>
    <t xml:space="preserve">Consistencia</t>
  </si>
  <si>
    <t xml:space="preserve">Key Insight oscuro en p6, p8, p15; texto plano en el resto</t>
  </si>
  <si>
    <t xml:space="preserve">Un tratamiento único</t>
  </si>
  <si>
    <t xml:space="preserve">D07</t>
  </si>
  <si>
    <t xml:space="preserve">6, 11, 17, 20</t>
  </si>
  <si>
    <t xml:space="preserve">Tipografía</t>
  </si>
  <si>
    <t xml:space="preserve">Títulos en Helvetica no incrustada mezclada con Lato</t>
  </si>
  <si>
    <t xml:space="preserve">Lato incrustada (OFL) en todo</t>
  </si>
  <si>
    <t xml:space="preserve">D08</t>
  </si>
  <si>
    <t xml:space="preserve">Gráfico</t>
  </si>
  <si>
    <t xml:space="preserve">Barra de FDI sin leyenda ni escala</t>
  </si>
  <si>
    <t xml:space="preserve">bar_breakdown con leyenda y valores</t>
  </si>
  <si>
    <t xml:space="preserve">D09</t>
  </si>
  <si>
    <t xml:space="preserve">todas</t>
  </si>
  <si>
    <t xml:space="preserve">Navegación</t>
  </si>
  <si>
    <t xml:space="preserve">Número de página en encabezado y pie</t>
  </si>
  <si>
    <t xml:space="preserve">Una sola vez</t>
  </si>
  <si>
    <t xml:space="preserve">D10</t>
  </si>
  <si>
    <t xml:space="preserve">Marca</t>
  </si>
  <si>
    <t xml:space="preserve">Abeja en el pie de p2 (README: desde p3)</t>
  </si>
  <si>
    <t xml:space="preserve">Regla del README</t>
  </si>
  <si>
    <t xml:space="preserve">D11</t>
  </si>
  <si>
    <t xml:space="preserve">cuerpo</t>
  </si>
  <si>
    <t xml:space="preserve">Enlaces</t>
  </si>
  <si>
    <t xml:space="preserve">Marcadores [01]… no son enlaces; solo p19 tiene 26</t>
  </si>
  <si>
    <t xml:space="preserve">ref enlazada a la entrada del directorio</t>
  </si>
  <si>
    <t xml:space="preserve">D12</t>
  </si>
  <si>
    <t xml:space="preserve">CTA 'beeside.you' sin enlace</t>
  </si>
  <si>
    <t xml:space="preserve">cta_link con clave kl.links.discovery_start</t>
  </si>
  <si>
    <t xml:space="preserve">D13</t>
  </si>
  <si>
    <t xml:space="preserve">Fuentes</t>
  </si>
  <si>
    <t xml:space="preserve">[03]–[06] y [12]–[26] sin marcador; FDI, aguinaldo, vacaciones, jornada y USMCA sin referencia</t>
  </si>
  <si>
    <t xml:space="preserve">Sustantivo</t>
  </si>
  <si>
    <t xml:space="preserve">Asignar fuente por afirmación en KL</t>
  </si>
  <si>
    <t xml:space="preserve">D14</t>
  </si>
  <si>
    <t xml:space="preserve">[01] respalda 4 datasets; [11] host QA; [07]–[09] SAT en vez de ley; [13],[23] orientación</t>
  </si>
  <si>
    <t xml:space="preserve">Ver hoja 'Fuentes PDF'</t>
  </si>
  <si>
    <t xml:space="preserve">D15</t>
  </si>
  <si>
    <t xml:space="preserve">17–18</t>
  </si>
  <si>
    <t xml:space="preserve">Terminología</t>
  </si>
  <si>
    <t xml:space="preserve">'Category Service Packs' vs canónico 'Category Requirement Pack (CRP)'; 'Your Service Map' vs 'My Service Map'; 'First Assessment' vs 'Discovery'</t>
  </si>
  <si>
    <t xml:space="preserve">Resuelto (PO-5): términos canónicos CRP, My Service Map, Discovery; registrado en editorialChanges</t>
  </si>
  <si>
    <t xml:space="preserve">D16</t>
  </si>
  <si>
    <t xml:space="preserve">PDF</t>
  </si>
  <si>
    <t xml:space="preserve">Accesibilidad</t>
  </si>
  <si>
    <t xml:space="preserve">PDF sin etiquetar, sin idioma declarado</t>
  </si>
  <si>
    <t xml:space="preserve">Chromium tagged + outline + /Lang (probado)</t>
  </si>
  <si>
    <t xml:space="preserve">D17</t>
  </si>
  <si>
    <t xml:space="preserve">Procedencia</t>
  </si>
  <si>
    <t xml:space="preserve">Manifiesto C2PA: generado por ChatGPT (trainedAlgorithmicMedia)</t>
  </si>
  <si>
    <t xml:space="preserve">Sustantivo (gobierno de contenido)</t>
  </si>
  <si>
    <t xml:space="preserve">Tratar v3 como borrador editorial; contenido entra a KL como fichas versionadas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</si>
</sst>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4E9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D297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D297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>
          <bgColor rgb="FFFBE3E3"/>
        </patternFill>
      </fill>
    </dxf>
    <dxf>
      <fill>
        <patternFill>
          <bgColor rgb="FFFFF3D6"/>
        </patternFill>
      </fill>
    </dxf>
    <dxf>
      <fill>
        <patternFill patternType="solid">
          <fgColor rgb="FF1F4E9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1F4E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D2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negi.org.mx/igae" TargetMode="External"/><Relationship Id="rId2" Type="http://schemas.openxmlformats.org/officeDocument/2006/relationships/hyperlink" Target="https://www.banxico.org.mx/publications-and-press/announcements-of-monetary-policy-decisions/monetary-policy-announcements.html" TargetMode="External"/><Relationship Id="rId3" Type="http://schemas.openxmlformats.org/officeDocument/2006/relationships/hyperlink" Target="https://www.gob.mx/se/prensa/mexico-registra-un-maximo-historico-de-inversion-extranjera-directa-ied-para-un-primer-semestre-34-mil-968-millones-de-dolares-en-2026?idiom=en" TargetMode="External"/><Relationship Id="rId4" Type="http://schemas.openxmlformats.org/officeDocument/2006/relationships/hyperlink" Target="https://ustr.gov/about/policy-offices/press-office/press-releases/2026/july/ambassador-greer-issues-statement-usmca-joint-review" TargetMode="External"/><Relationship Id="rId5" Type="http://schemas.openxmlformats.org/officeDocument/2006/relationships/hyperlink" Target="https://www.ustr.gov/about/policy-offices/press-office/press-releases/2026/october/ustr-seeks-public-comment-2027-joint-review-usmca" TargetMode="External"/><Relationship Id="rId6" Type="http://schemas.openxmlformats.org/officeDocument/2006/relationships/hyperlink" Target="https://www.gob.mx/se/acciones-y-programas/competitividad-y-normatividad-inversion-extranjera-directa" TargetMode="External"/><Relationship Id="rId7" Type="http://schemas.openxmlformats.org/officeDocument/2006/relationships/hyperlink" Target="https://wwwmat.sat.gob.mx/articulo/93578/articulo-9" TargetMode="External"/><Relationship Id="rId8" Type="http://schemas.openxmlformats.org/officeDocument/2006/relationships/hyperlink" Target="https://wwwmatnp.sat.gob.mx/articulo/19848/articulo-1" TargetMode="External"/><Relationship Id="rId9" Type="http://schemas.openxmlformats.org/officeDocument/2006/relationships/hyperlink" Target="https://wwwmat.sat.gob.mx/articulo/76538/articulo-164" TargetMode="External"/><Relationship Id="rId10" Type="http://schemas.openxmlformats.org/officeDocument/2006/relationships/hyperlink" Target="https://www.imss.gob.mx/prensa/archivo/202610/539" TargetMode="External"/><Relationship Id="rId11" Type="http://schemas.openxmlformats.org/officeDocument/2006/relationships/hyperlink" Target="https://sidofqa.segob.gob.mx/notas/docFuente/5775534" TargetMode="External"/><Relationship Id="rId12" Type="http://schemas.openxmlformats.org/officeDocument/2006/relationships/hyperlink" Target="https://sidof.segob.gob.mx/notas/5786537" TargetMode="External"/><Relationship Id="rId13" Type="http://schemas.openxmlformats.org/officeDocument/2006/relationships/hyperlink" Target="https://www.gob.mx/stps/es/articulos/la-profedet-es-tu-aliada-en-el-pago-del-aguinaldo-conoce-todo-sobre-este-tema-y-haz-valer-tu-derecho-183140?idiom=es" TargetMode="External"/><Relationship Id="rId14" Type="http://schemas.openxmlformats.org/officeDocument/2006/relationships/hyperlink" Target="https://indices.imco.org.mx/indice-de-competitividad-estatal-2026" TargetMode="External"/><Relationship Id="rId15" Type="http://schemas.openxmlformats.org/officeDocument/2006/relationships/hyperlink" Target="https://www.banxico.org.mx/publicaciones-y-prensa/reportes-sobre-las-economias-regionales/reportes-economias-regionales.html" TargetMode="External"/><Relationship Id="rId16" Type="http://schemas.openxmlformats.org/officeDocument/2006/relationships/hyperlink" Target="https://www.gob.mx/sict/documentos/anuario-estadistico-del-sector-de-infraestructura-comunicaciones-y-transportes-2025" TargetMode="External"/><Relationship Id="rId17" Type="http://schemas.openxmlformats.org/officeDocument/2006/relationships/hyperlink" Target="https://www.ventanillaunica.gob.mx/vucem/" TargetMode="External"/><Relationship Id="rId18" Type="http://schemas.openxmlformats.org/officeDocument/2006/relationships/hyperlink" Target="https://www.gob.mx/tramites/ficha/inscripcion-en-el-rfc-de-personas-morales-a-traves-de-fedatario-publico-por-medios-remotos/SAT285" TargetMode="External"/><Relationship Id="rId19" Type="http://schemas.openxmlformats.org/officeDocument/2006/relationships/hyperlink" Target="https://www.imss.gob.mx/tramites/imss02001c" TargetMode="External"/><Relationship Id="rId20" Type="http://schemas.openxmlformats.org/officeDocument/2006/relationships/hyperlink" Target="https://www.gob.mx/impi/acciones-y-programas/temas-de-interes-preguntas-frecuentes-marcas" TargetMode="External"/><Relationship Id="rId21" Type="http://schemas.openxmlformats.org/officeDocument/2006/relationships/hyperlink" Target="https://www.inegi.org.mx/app/mapa/denue/" TargetMode="External"/><Relationship Id="rId22" Type="http://schemas.openxmlformats.org/officeDocument/2006/relationships/hyperlink" Target="https://www.inegi.org.mx/programas/ENOE/15ymas/" TargetMode="External"/><Relationship Id="rId23" Type="http://schemas.openxmlformats.org/officeDocument/2006/relationships/hyperlink" Target="https://profedet.gob.mx/micrositio/index.php/vacaciones" TargetMode="External"/><Relationship Id="rId24" Type="http://schemas.openxmlformats.org/officeDocument/2006/relationships/hyperlink" Target="https://www.imss.gob.mx/imssdigital/" TargetMode="External"/><Relationship Id="rId25" Type="http://schemas.openxmlformats.org/officeDocument/2006/relationships/hyperlink" Target="https://www.gob.mx/se/acciones-y-programas/solicitud-de-inscripcion-en-el-registro-nacional-de-inversiones-extranjeras-de-sociedades-mexicanas-con-inversion-extranjera-se-02-001-b" TargetMode="External"/><Relationship Id="rId26" Type="http://schemas.openxmlformats.org/officeDocument/2006/relationships/hyperlink" Target="https://www.gob.mx/tramites/ficha/inscripcion-en-el-rfc-de-personas-morales-en-las-oficinas-del-sat/SAT127" TargetMode="External"/><Relationship Id="rId2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COUNTA(Afirmaciones!A5:A31)</f>
        <v>27</v>
      </c>
    </row>
    <row r="5" customFormat="false" ht="15" hidden="false" customHeight="false" outlineLevel="0" collapsed="false">
      <c r="A5" s="3" t="s">
        <v>3</v>
      </c>
      <c r="B5" s="4" t="n">
        <f aca="false">COUNTIF(Afirmaciones!J5:J31,"Alto")</f>
        <v>17</v>
      </c>
    </row>
    <row r="6" customFormat="false" ht="15" hidden="false" customHeight="false" outlineLevel="0" collapsed="false">
      <c r="A6" s="3" t="s">
        <v>4</v>
      </c>
      <c r="B6" s="4" t="n">
        <f aca="false">COUNTIF(Afirmaciones!F5:F31,"Ninguna*")</f>
        <v>16</v>
      </c>
    </row>
    <row r="7" customFormat="false" ht="15" hidden="false" customHeight="false" outlineLevel="0" collapsed="false">
      <c r="A7" s="3" t="s">
        <v>5</v>
      </c>
      <c r="B7" s="4" t="n">
        <f aca="false">COUNTIF(Afirmaciones!L5:L31,"Aprobada en KL")</f>
        <v>0</v>
      </c>
    </row>
    <row r="8" customFormat="false" ht="15" hidden="false" customHeight="false" outlineLevel="0" collapsed="false">
      <c r="A8" s="3" t="s">
        <v>6</v>
      </c>
      <c r="B8" s="4" t="n">
        <f aca="false">COUNTA('Fuentes PDF'!A5:A30)</f>
        <v>26</v>
      </c>
    </row>
    <row r="9" customFormat="false" ht="15" hidden="false" customHeight="false" outlineLevel="0" collapsed="false">
      <c r="A9" s="3" t="s">
        <v>3</v>
      </c>
      <c r="B9" s="4" t="n">
        <f aca="false">COUNTIF('Fuentes PDF'!G5:G30,"Alto")</f>
        <v>9</v>
      </c>
    </row>
    <row r="10" customFormat="false" ht="15" hidden="false" customHeight="false" outlineLevel="0" collapsed="false">
      <c r="A10" s="3" t="s">
        <v>7</v>
      </c>
      <c r="B10" s="4" t="n">
        <f aca="false">COUNTA(Defectos!A5:A21)</f>
        <v>17</v>
      </c>
    </row>
    <row r="11" customFormat="false" ht="15" hidden="false" customHeight="false" outlineLevel="0" collapsed="false">
      <c r="A11" s="3" t="s">
        <v>8</v>
      </c>
      <c r="B11" s="4" t="n">
        <f aca="false">COUNTIF(Defectos!E5:E21,"Sustantivo*")</f>
        <v>4</v>
      </c>
    </row>
    <row r="12" customFormat="false" ht="15" hidden="false" customHeight="false" outlineLevel="0" collapsed="false">
      <c r="A12" s="3" t="s">
        <v>9</v>
      </c>
      <c r="B12" s="4" t="n">
        <f aca="false">COUNTIF(Defectos!E5:E21,"Maquetación*")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9"/>
    <col collapsed="false" customWidth="true" hidden="false" outlineLevel="0" max="11" min="11" style="0" width="24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 customFormat="false" ht="23.85" hidden="false" customHeight="false" outlineLevel="0" collapsed="false">
      <c r="A5" s="6" t="s">
        <v>24</v>
      </c>
      <c r="B5" s="6" t="n">
        <v>3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6" t="s">
        <v>34</v>
      </c>
    </row>
    <row r="6" customFormat="false" ht="23.85" hidden="false" customHeight="false" outlineLevel="0" collapsed="false">
      <c r="A6" s="6" t="s">
        <v>35</v>
      </c>
      <c r="B6" s="6" t="n">
        <v>3</v>
      </c>
      <c r="C6" s="6" t="s">
        <v>25</v>
      </c>
      <c r="D6" s="6" t="s">
        <v>36</v>
      </c>
      <c r="E6" s="6" t="s">
        <v>27</v>
      </c>
      <c r="F6" s="6" t="s">
        <v>28</v>
      </c>
      <c r="G6" s="6" t="s">
        <v>37</v>
      </c>
      <c r="H6" s="6" t="s">
        <v>38</v>
      </c>
      <c r="I6" s="6" t="s">
        <v>31</v>
      </c>
      <c r="J6" s="6" t="s">
        <v>32</v>
      </c>
      <c r="K6" s="6" t="s">
        <v>33</v>
      </c>
      <c r="L6" s="6" t="s">
        <v>34</v>
      </c>
    </row>
    <row r="7" customFormat="false" ht="23.85" hidden="false" customHeight="false" outlineLevel="0" collapsed="false">
      <c r="A7" s="6" t="s">
        <v>39</v>
      </c>
      <c r="B7" s="6" t="n">
        <v>3</v>
      </c>
      <c r="C7" s="6" t="s">
        <v>25</v>
      </c>
      <c r="D7" s="6" t="s">
        <v>40</v>
      </c>
      <c r="E7" s="6" t="s">
        <v>27</v>
      </c>
      <c r="F7" s="6" t="s">
        <v>28</v>
      </c>
      <c r="G7" s="6" t="s">
        <v>41</v>
      </c>
      <c r="H7" s="6" t="s">
        <v>42</v>
      </c>
      <c r="I7" s="6" t="s">
        <v>31</v>
      </c>
      <c r="J7" s="6" t="s">
        <v>32</v>
      </c>
      <c r="K7" s="6" t="s">
        <v>33</v>
      </c>
      <c r="L7" s="6" t="s">
        <v>34</v>
      </c>
    </row>
    <row r="8" customFormat="false" ht="23.85" hidden="false" customHeight="false" outlineLevel="0" collapsed="false">
      <c r="A8" s="6" t="s">
        <v>43</v>
      </c>
      <c r="B8" s="6" t="n">
        <v>3</v>
      </c>
      <c r="C8" s="6" t="s">
        <v>25</v>
      </c>
      <c r="D8" s="6" t="s">
        <v>44</v>
      </c>
      <c r="E8" s="6" t="s">
        <v>27</v>
      </c>
      <c r="F8" s="6" t="s">
        <v>45</v>
      </c>
      <c r="G8" s="6" t="s">
        <v>46</v>
      </c>
      <c r="H8" s="6" t="s">
        <v>47</v>
      </c>
      <c r="I8" s="6" t="s">
        <v>34</v>
      </c>
      <c r="J8" s="6" t="s">
        <v>32</v>
      </c>
      <c r="K8" s="6" t="s">
        <v>33</v>
      </c>
      <c r="L8" s="6" t="s">
        <v>34</v>
      </c>
    </row>
    <row r="9" customFormat="false" ht="35.05" hidden="false" customHeight="false" outlineLevel="0" collapsed="false">
      <c r="A9" s="6" t="s">
        <v>48</v>
      </c>
      <c r="B9" s="6" t="n">
        <v>3</v>
      </c>
      <c r="C9" s="6" t="s">
        <v>25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32</v>
      </c>
      <c r="K9" s="6" t="s">
        <v>55</v>
      </c>
      <c r="L9" s="6" t="s">
        <v>34</v>
      </c>
    </row>
    <row r="10" customFormat="false" ht="35.05" hidden="false" customHeight="false" outlineLevel="0" collapsed="false">
      <c r="A10" s="6" t="s">
        <v>56</v>
      </c>
      <c r="B10" s="6" t="n">
        <v>3</v>
      </c>
      <c r="C10" s="6" t="s">
        <v>25</v>
      </c>
      <c r="D10" s="6" t="s">
        <v>57</v>
      </c>
      <c r="E10" s="6" t="s">
        <v>58</v>
      </c>
      <c r="F10" s="6" t="s">
        <v>59</v>
      </c>
      <c r="G10" s="6" t="s">
        <v>60</v>
      </c>
      <c r="H10" s="6" t="s">
        <v>61</v>
      </c>
      <c r="I10" s="6" t="s">
        <v>62</v>
      </c>
      <c r="J10" s="6" t="s">
        <v>63</v>
      </c>
      <c r="K10" s="6" t="s">
        <v>64</v>
      </c>
      <c r="L10" s="6" t="s">
        <v>34</v>
      </c>
    </row>
    <row r="11" customFormat="false" ht="23.85" hidden="false" customHeight="false" outlineLevel="0" collapsed="false">
      <c r="A11" s="6" t="s">
        <v>65</v>
      </c>
      <c r="B11" s="6" t="n">
        <v>4</v>
      </c>
      <c r="C11" s="6" t="s">
        <v>66</v>
      </c>
      <c r="D11" s="6" t="s">
        <v>67</v>
      </c>
      <c r="E11" s="6" t="s">
        <v>27</v>
      </c>
      <c r="F11" s="6" t="s">
        <v>28</v>
      </c>
      <c r="G11" s="6" t="s">
        <v>68</v>
      </c>
      <c r="H11" s="6" t="s">
        <v>69</v>
      </c>
      <c r="I11" s="6" t="s">
        <v>31</v>
      </c>
      <c r="J11" s="6" t="s">
        <v>32</v>
      </c>
      <c r="K11" s="6" t="s">
        <v>33</v>
      </c>
      <c r="L11" s="6" t="s">
        <v>34</v>
      </c>
    </row>
    <row r="12" customFormat="false" ht="15" hidden="false" customHeight="false" outlineLevel="0" collapsed="false">
      <c r="A12" s="6" t="s">
        <v>70</v>
      </c>
      <c r="B12" s="6" t="n">
        <v>4</v>
      </c>
      <c r="C12" s="6" t="s">
        <v>66</v>
      </c>
      <c r="D12" s="6" t="s">
        <v>71</v>
      </c>
      <c r="E12" s="6" t="s">
        <v>27</v>
      </c>
      <c r="F12" s="6" t="s">
        <v>72</v>
      </c>
      <c r="G12" s="6" t="s">
        <v>73</v>
      </c>
      <c r="H12" s="6" t="s">
        <v>30</v>
      </c>
      <c r="I12" s="6" t="s">
        <v>34</v>
      </c>
      <c r="J12" s="6" t="s">
        <v>63</v>
      </c>
      <c r="K12" s="6" t="s">
        <v>33</v>
      </c>
      <c r="L12" s="6" t="s">
        <v>34</v>
      </c>
    </row>
    <row r="13" customFormat="false" ht="15" hidden="false" customHeight="false" outlineLevel="0" collapsed="false">
      <c r="A13" s="6" t="s">
        <v>74</v>
      </c>
      <c r="B13" s="6" t="n">
        <v>5</v>
      </c>
      <c r="C13" s="6" t="s">
        <v>66</v>
      </c>
      <c r="D13" s="6" t="s">
        <v>75</v>
      </c>
      <c r="E13" s="6" t="s">
        <v>27</v>
      </c>
      <c r="F13" s="6" t="s">
        <v>76</v>
      </c>
      <c r="G13" s="6" t="s">
        <v>77</v>
      </c>
      <c r="H13" s="6" t="s">
        <v>78</v>
      </c>
      <c r="I13" s="6" t="s">
        <v>34</v>
      </c>
      <c r="J13" s="6" t="s">
        <v>63</v>
      </c>
      <c r="K13" s="6" t="s">
        <v>33</v>
      </c>
      <c r="L13" s="6" t="s">
        <v>34</v>
      </c>
    </row>
    <row r="14" customFormat="false" ht="23.85" hidden="false" customHeight="false" outlineLevel="0" collapsed="false">
      <c r="A14" s="6" t="s">
        <v>79</v>
      </c>
      <c r="B14" s="6" t="n">
        <v>5</v>
      </c>
      <c r="C14" s="6" t="s">
        <v>66</v>
      </c>
      <c r="D14" s="6" t="s">
        <v>80</v>
      </c>
      <c r="E14" s="6" t="s">
        <v>27</v>
      </c>
      <c r="F14" s="6" t="s">
        <v>72</v>
      </c>
      <c r="G14" s="6" t="s">
        <v>77</v>
      </c>
      <c r="H14" s="6" t="s">
        <v>78</v>
      </c>
      <c r="I14" s="6" t="s">
        <v>34</v>
      </c>
      <c r="J14" s="6" t="s">
        <v>63</v>
      </c>
      <c r="K14" s="6" t="s">
        <v>33</v>
      </c>
      <c r="L14" s="6" t="s">
        <v>34</v>
      </c>
    </row>
    <row r="15" customFormat="false" ht="15" hidden="false" customHeight="false" outlineLevel="0" collapsed="false">
      <c r="A15" s="6" t="s">
        <v>81</v>
      </c>
      <c r="B15" s="6" t="n">
        <v>5</v>
      </c>
      <c r="C15" s="6" t="s">
        <v>66</v>
      </c>
      <c r="D15" s="6" t="s">
        <v>82</v>
      </c>
      <c r="E15" s="6" t="s">
        <v>27</v>
      </c>
      <c r="F15" s="6" t="s">
        <v>72</v>
      </c>
      <c r="G15" s="6" t="s">
        <v>77</v>
      </c>
      <c r="H15" s="6" t="s">
        <v>78</v>
      </c>
      <c r="I15" s="6" t="s">
        <v>34</v>
      </c>
      <c r="J15" s="6" t="s">
        <v>63</v>
      </c>
      <c r="K15" s="6" t="s">
        <v>33</v>
      </c>
      <c r="L15" s="6" t="s">
        <v>34</v>
      </c>
    </row>
    <row r="16" customFormat="false" ht="23.85" hidden="false" customHeight="false" outlineLevel="0" collapsed="false">
      <c r="A16" s="6" t="s">
        <v>83</v>
      </c>
      <c r="B16" s="6" t="n">
        <v>7</v>
      </c>
      <c r="C16" s="6" t="s">
        <v>84</v>
      </c>
      <c r="D16" s="6" t="s">
        <v>85</v>
      </c>
      <c r="E16" s="6" t="s">
        <v>58</v>
      </c>
      <c r="F16" s="6" t="s">
        <v>72</v>
      </c>
      <c r="G16" s="6" t="s">
        <v>86</v>
      </c>
      <c r="H16" s="6" t="s">
        <v>87</v>
      </c>
      <c r="I16" s="6" t="s">
        <v>34</v>
      </c>
      <c r="J16" s="6" t="s">
        <v>63</v>
      </c>
      <c r="K16" s="6" t="s">
        <v>64</v>
      </c>
      <c r="L16" s="6" t="s">
        <v>34</v>
      </c>
    </row>
    <row r="17" customFormat="false" ht="23.85" hidden="false" customHeight="false" outlineLevel="0" collapsed="false">
      <c r="A17" s="6" t="s">
        <v>88</v>
      </c>
      <c r="B17" s="6" t="n">
        <v>7</v>
      </c>
      <c r="C17" s="6" t="s">
        <v>84</v>
      </c>
      <c r="D17" s="6" t="s">
        <v>89</v>
      </c>
      <c r="E17" s="6" t="s">
        <v>58</v>
      </c>
      <c r="F17" s="6" t="s">
        <v>90</v>
      </c>
      <c r="G17" s="6" t="s">
        <v>91</v>
      </c>
      <c r="H17" s="6" t="s">
        <v>87</v>
      </c>
      <c r="I17" s="6" t="s">
        <v>34</v>
      </c>
      <c r="J17" s="6" t="s">
        <v>63</v>
      </c>
      <c r="K17" s="6" t="s">
        <v>64</v>
      </c>
      <c r="L17" s="6" t="s">
        <v>34</v>
      </c>
    </row>
    <row r="18" customFormat="false" ht="35.05" hidden="false" customHeight="false" outlineLevel="0" collapsed="false">
      <c r="A18" s="6" t="s">
        <v>92</v>
      </c>
      <c r="B18" s="6" t="n">
        <v>8</v>
      </c>
      <c r="C18" s="6" t="s">
        <v>93</v>
      </c>
      <c r="D18" s="6" t="s">
        <v>94</v>
      </c>
      <c r="E18" s="6" t="s">
        <v>58</v>
      </c>
      <c r="F18" s="6" t="s">
        <v>95</v>
      </c>
      <c r="G18" s="6" t="s">
        <v>96</v>
      </c>
      <c r="H18" s="6" t="s">
        <v>97</v>
      </c>
      <c r="I18" s="6" t="s">
        <v>62</v>
      </c>
      <c r="J18" s="6" t="s">
        <v>63</v>
      </c>
      <c r="K18" s="6" t="s">
        <v>64</v>
      </c>
      <c r="L18" s="6" t="s">
        <v>34</v>
      </c>
    </row>
    <row r="19" customFormat="false" ht="35.05" hidden="false" customHeight="false" outlineLevel="0" collapsed="false">
      <c r="A19" s="6" t="s">
        <v>98</v>
      </c>
      <c r="B19" s="6" t="n">
        <v>8</v>
      </c>
      <c r="C19" s="6" t="s">
        <v>93</v>
      </c>
      <c r="D19" s="6" t="s">
        <v>99</v>
      </c>
      <c r="E19" s="6" t="s">
        <v>58</v>
      </c>
      <c r="F19" s="6" t="s">
        <v>100</v>
      </c>
      <c r="G19" s="6" t="s">
        <v>101</v>
      </c>
      <c r="H19" s="6" t="s">
        <v>97</v>
      </c>
      <c r="I19" s="6" t="s">
        <v>62</v>
      </c>
      <c r="J19" s="6" t="s">
        <v>63</v>
      </c>
      <c r="K19" s="6" t="s">
        <v>64</v>
      </c>
      <c r="L19" s="6" t="s">
        <v>34</v>
      </c>
    </row>
    <row r="20" customFormat="false" ht="35.05" hidden="false" customHeight="false" outlineLevel="0" collapsed="false">
      <c r="A20" s="6" t="s">
        <v>102</v>
      </c>
      <c r="B20" s="6" t="n">
        <v>8</v>
      </c>
      <c r="C20" s="6" t="s">
        <v>93</v>
      </c>
      <c r="D20" s="6" t="s">
        <v>103</v>
      </c>
      <c r="E20" s="6" t="s">
        <v>58</v>
      </c>
      <c r="F20" s="6" t="s">
        <v>104</v>
      </c>
      <c r="G20" s="6" t="s">
        <v>105</v>
      </c>
      <c r="H20" s="6" t="s">
        <v>97</v>
      </c>
      <c r="I20" s="6" t="s">
        <v>62</v>
      </c>
      <c r="J20" s="6" t="s">
        <v>63</v>
      </c>
      <c r="K20" s="6" t="s">
        <v>64</v>
      </c>
      <c r="L20" s="6" t="s">
        <v>34</v>
      </c>
    </row>
    <row r="21" customFormat="false" ht="23.85" hidden="false" customHeight="false" outlineLevel="0" collapsed="false">
      <c r="A21" s="6" t="s">
        <v>106</v>
      </c>
      <c r="B21" s="6" t="n">
        <v>10</v>
      </c>
      <c r="C21" s="6" t="s">
        <v>107</v>
      </c>
      <c r="D21" s="6" t="s">
        <v>108</v>
      </c>
      <c r="E21" s="6" t="s">
        <v>27</v>
      </c>
      <c r="F21" s="6" t="s">
        <v>109</v>
      </c>
      <c r="G21" s="6" t="s">
        <v>110</v>
      </c>
      <c r="H21" s="6" t="s">
        <v>42</v>
      </c>
      <c r="I21" s="6" t="s">
        <v>34</v>
      </c>
      <c r="J21" s="6" t="s">
        <v>32</v>
      </c>
      <c r="K21" s="6" t="s">
        <v>33</v>
      </c>
      <c r="L21" s="6" t="s">
        <v>34</v>
      </c>
    </row>
    <row r="22" customFormat="false" ht="35.05" hidden="false" customHeight="false" outlineLevel="0" collapsed="false">
      <c r="A22" s="6" t="s">
        <v>111</v>
      </c>
      <c r="B22" s="6" t="n">
        <v>10</v>
      </c>
      <c r="C22" s="6" t="s">
        <v>107</v>
      </c>
      <c r="D22" s="6" t="s">
        <v>112</v>
      </c>
      <c r="E22" s="6" t="s">
        <v>113</v>
      </c>
      <c r="F22" s="6" t="s">
        <v>114</v>
      </c>
      <c r="G22" s="6" t="s">
        <v>115</v>
      </c>
      <c r="H22" s="6" t="s">
        <v>116</v>
      </c>
      <c r="I22" s="6" t="s">
        <v>62</v>
      </c>
      <c r="J22" s="6" t="s">
        <v>63</v>
      </c>
      <c r="K22" s="6" t="s">
        <v>64</v>
      </c>
      <c r="L22" s="6" t="s">
        <v>34</v>
      </c>
    </row>
    <row r="23" customFormat="false" ht="35.05" hidden="false" customHeight="false" outlineLevel="0" collapsed="false">
      <c r="A23" s="6" t="s">
        <v>117</v>
      </c>
      <c r="B23" s="6" t="n">
        <v>10</v>
      </c>
      <c r="C23" s="6" t="s">
        <v>107</v>
      </c>
      <c r="D23" s="6" t="s">
        <v>118</v>
      </c>
      <c r="E23" s="6" t="s">
        <v>113</v>
      </c>
      <c r="F23" s="6" t="s">
        <v>114</v>
      </c>
      <c r="G23" s="6" t="s">
        <v>115</v>
      </c>
      <c r="H23" s="6" t="s">
        <v>116</v>
      </c>
      <c r="I23" s="6" t="s">
        <v>62</v>
      </c>
      <c r="J23" s="6" t="s">
        <v>63</v>
      </c>
      <c r="K23" s="6" t="s">
        <v>64</v>
      </c>
      <c r="L23" s="6" t="s">
        <v>34</v>
      </c>
    </row>
    <row r="24" customFormat="false" ht="23.85" hidden="false" customHeight="false" outlineLevel="0" collapsed="false">
      <c r="A24" s="6" t="s">
        <v>119</v>
      </c>
      <c r="B24" s="6" t="n">
        <v>10</v>
      </c>
      <c r="C24" s="6" t="s">
        <v>107</v>
      </c>
      <c r="D24" s="6" t="s">
        <v>120</v>
      </c>
      <c r="E24" s="6" t="s">
        <v>58</v>
      </c>
      <c r="F24" s="6" t="s">
        <v>121</v>
      </c>
      <c r="G24" s="6" t="s">
        <v>122</v>
      </c>
      <c r="H24" s="6" t="s">
        <v>87</v>
      </c>
      <c r="I24" s="6" t="s">
        <v>34</v>
      </c>
      <c r="J24" s="6" t="s">
        <v>63</v>
      </c>
      <c r="K24" s="6" t="s">
        <v>64</v>
      </c>
      <c r="L24" s="6" t="s">
        <v>34</v>
      </c>
    </row>
    <row r="25" customFormat="false" ht="23.85" hidden="false" customHeight="false" outlineLevel="0" collapsed="false">
      <c r="A25" s="6" t="s">
        <v>123</v>
      </c>
      <c r="B25" s="6" t="n">
        <v>10</v>
      </c>
      <c r="C25" s="6" t="s">
        <v>107</v>
      </c>
      <c r="D25" s="6" t="s">
        <v>124</v>
      </c>
      <c r="E25" s="6" t="s">
        <v>58</v>
      </c>
      <c r="F25" s="6" t="s">
        <v>125</v>
      </c>
      <c r="G25" s="6" t="s">
        <v>126</v>
      </c>
      <c r="H25" s="6" t="s">
        <v>87</v>
      </c>
      <c r="I25" s="6" t="s">
        <v>34</v>
      </c>
      <c r="J25" s="6" t="s">
        <v>63</v>
      </c>
      <c r="K25" s="6" t="s">
        <v>64</v>
      </c>
      <c r="L25" s="6" t="s">
        <v>34</v>
      </c>
    </row>
    <row r="26" customFormat="false" ht="23.85" hidden="false" customHeight="false" outlineLevel="0" collapsed="false">
      <c r="A26" s="6" t="s">
        <v>127</v>
      </c>
      <c r="B26" s="6" t="n">
        <v>10</v>
      </c>
      <c r="C26" s="6" t="s">
        <v>107</v>
      </c>
      <c r="D26" s="6" t="s">
        <v>128</v>
      </c>
      <c r="E26" s="6" t="s">
        <v>58</v>
      </c>
      <c r="F26" s="6" t="s">
        <v>72</v>
      </c>
      <c r="G26" s="6" t="s">
        <v>129</v>
      </c>
      <c r="H26" s="6" t="s">
        <v>87</v>
      </c>
      <c r="I26" s="6" t="s">
        <v>34</v>
      </c>
      <c r="J26" s="6" t="s">
        <v>63</v>
      </c>
      <c r="K26" s="6" t="s">
        <v>64</v>
      </c>
      <c r="L26" s="6" t="s">
        <v>34</v>
      </c>
    </row>
    <row r="27" customFormat="false" ht="35.05" hidden="false" customHeight="false" outlineLevel="0" collapsed="false">
      <c r="A27" s="6" t="s">
        <v>130</v>
      </c>
      <c r="B27" s="6" t="n">
        <v>11</v>
      </c>
      <c r="C27" s="6" t="s">
        <v>107</v>
      </c>
      <c r="D27" s="6" t="s">
        <v>131</v>
      </c>
      <c r="E27" s="6" t="s">
        <v>58</v>
      </c>
      <c r="F27" s="6" t="s">
        <v>132</v>
      </c>
      <c r="G27" s="6" t="s">
        <v>133</v>
      </c>
      <c r="H27" s="6" t="s">
        <v>61</v>
      </c>
      <c r="I27" s="6" t="s">
        <v>62</v>
      </c>
      <c r="J27" s="6" t="s">
        <v>63</v>
      </c>
      <c r="K27" s="6" t="s">
        <v>64</v>
      </c>
      <c r="L27" s="6" t="s">
        <v>34</v>
      </c>
    </row>
    <row r="28" customFormat="false" ht="35.05" hidden="false" customHeight="false" outlineLevel="0" collapsed="false">
      <c r="A28" s="6" t="s">
        <v>134</v>
      </c>
      <c r="B28" s="6" t="n">
        <v>11</v>
      </c>
      <c r="C28" s="6" t="s">
        <v>107</v>
      </c>
      <c r="D28" s="6" t="s">
        <v>135</v>
      </c>
      <c r="E28" s="6" t="s">
        <v>58</v>
      </c>
      <c r="F28" s="6" t="s">
        <v>72</v>
      </c>
      <c r="G28" s="6" t="s">
        <v>136</v>
      </c>
      <c r="H28" s="6" t="s">
        <v>61</v>
      </c>
      <c r="I28" s="6" t="s">
        <v>62</v>
      </c>
      <c r="J28" s="6" t="s">
        <v>63</v>
      </c>
      <c r="K28" s="6" t="s">
        <v>64</v>
      </c>
      <c r="L28" s="6" t="s">
        <v>34</v>
      </c>
    </row>
    <row r="29" customFormat="false" ht="23.85" hidden="false" customHeight="false" outlineLevel="0" collapsed="false">
      <c r="A29" s="6" t="s">
        <v>137</v>
      </c>
      <c r="B29" s="6" t="n">
        <v>13</v>
      </c>
      <c r="C29" s="6" t="s">
        <v>138</v>
      </c>
      <c r="D29" s="6" t="s">
        <v>139</v>
      </c>
      <c r="E29" s="6" t="s">
        <v>50</v>
      </c>
      <c r="F29" s="6" t="s">
        <v>140</v>
      </c>
      <c r="G29" s="6" t="s">
        <v>141</v>
      </c>
      <c r="H29" s="6" t="s">
        <v>142</v>
      </c>
      <c r="I29" s="6" t="s">
        <v>34</v>
      </c>
      <c r="J29" s="6" t="s">
        <v>32</v>
      </c>
      <c r="K29" s="6" t="s">
        <v>55</v>
      </c>
      <c r="L29" s="6" t="s">
        <v>34</v>
      </c>
    </row>
    <row r="30" customFormat="false" ht="15" hidden="false" customHeight="false" outlineLevel="0" collapsed="false">
      <c r="A30" s="6" t="s">
        <v>143</v>
      </c>
      <c r="B30" s="6" t="n">
        <v>12</v>
      </c>
      <c r="C30" s="6" t="s">
        <v>138</v>
      </c>
      <c r="D30" s="6" t="s">
        <v>144</v>
      </c>
      <c r="E30" s="6" t="s">
        <v>50</v>
      </c>
      <c r="F30" s="6" t="s">
        <v>145</v>
      </c>
      <c r="G30" s="6" t="s">
        <v>146</v>
      </c>
      <c r="H30" s="6" t="s">
        <v>116</v>
      </c>
      <c r="I30" s="6" t="s">
        <v>34</v>
      </c>
      <c r="J30" s="6" t="s">
        <v>32</v>
      </c>
      <c r="K30" s="6" t="s">
        <v>55</v>
      </c>
      <c r="L30" s="6" t="s">
        <v>34</v>
      </c>
    </row>
    <row r="31" customFormat="false" ht="23.85" hidden="false" customHeight="false" outlineLevel="0" collapsed="false">
      <c r="A31" s="6" t="s">
        <v>147</v>
      </c>
      <c r="B31" s="6" t="n">
        <v>14</v>
      </c>
      <c r="C31" s="6" t="s">
        <v>148</v>
      </c>
      <c r="D31" s="6" t="s">
        <v>149</v>
      </c>
      <c r="E31" s="6" t="s">
        <v>50</v>
      </c>
      <c r="F31" s="6" t="s">
        <v>72</v>
      </c>
      <c r="G31" s="6" t="s">
        <v>150</v>
      </c>
      <c r="H31" s="6" t="s">
        <v>87</v>
      </c>
      <c r="I31" s="6" t="s">
        <v>34</v>
      </c>
      <c r="J31" s="6" t="s">
        <v>32</v>
      </c>
      <c r="K31" s="6" t="s">
        <v>55</v>
      </c>
      <c r="L31" s="6" t="s">
        <v>34</v>
      </c>
    </row>
  </sheetData>
  <autoFilter ref="A4:L31"/>
  <conditionalFormatting sqref="J5:J31">
    <cfRule type="expression" priority="2" aboveAverage="0" equalAverage="0" bottom="0" percent="0" rank="0" text="" dxfId="5">
      <formula>$J5="Alto"</formula>
    </cfRule>
    <cfRule type="expression" priority="3" aboveAverage="0" equalAverage="0" bottom="0" percent="0" rank="0" text="" dxfId="6">
      <formula>$J5="Medio"</formula>
    </cfRule>
  </conditionalFormatting>
  <dataValidations count="1">
    <dataValidation allowBlank="false" errorStyle="stop" operator="between" showDropDown="false" showErrorMessage="false" showInputMessage="false" sqref="L5:L31" type="list">
      <formula1>"Por verificar,En revisión,Verificada (registro),Aprobada en KL,Rechazada"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23.85" hidden="false" customHeight="false" outlineLevel="0" collapsed="false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21</v>
      </c>
      <c r="H4" s="5" t="s">
        <v>159</v>
      </c>
      <c r="I4" s="5" t="s">
        <v>160</v>
      </c>
    </row>
    <row r="5" customFormat="false" ht="23.85" hidden="false" customHeight="false" outlineLevel="0" collapsed="false">
      <c r="A5" s="6" t="s">
        <v>161</v>
      </c>
      <c r="B5" s="6" t="s">
        <v>162</v>
      </c>
      <c r="C5" s="7" t="s">
        <v>163</v>
      </c>
      <c r="D5" s="6" t="s">
        <v>164</v>
      </c>
      <c r="E5" s="6" t="s">
        <v>165</v>
      </c>
      <c r="F5" s="6" t="s">
        <v>166</v>
      </c>
      <c r="G5" s="6" t="s">
        <v>63</v>
      </c>
      <c r="H5" s="6" t="s">
        <v>167</v>
      </c>
      <c r="I5" s="6" t="s">
        <v>168</v>
      </c>
    </row>
    <row r="6" customFormat="false" ht="23.85" hidden="false" customHeight="false" outlineLevel="0" collapsed="false">
      <c r="A6" s="6" t="s">
        <v>169</v>
      </c>
      <c r="B6" s="6" t="s">
        <v>170</v>
      </c>
      <c r="C6" s="7" t="s">
        <v>171</v>
      </c>
      <c r="D6" s="6" t="s">
        <v>172</v>
      </c>
      <c r="E6" s="6" t="s">
        <v>173</v>
      </c>
      <c r="F6" s="6" t="s">
        <v>174</v>
      </c>
      <c r="G6" s="6" t="s">
        <v>175</v>
      </c>
      <c r="H6" s="6" t="s">
        <v>176</v>
      </c>
      <c r="I6" s="6" t="s">
        <v>177</v>
      </c>
    </row>
    <row r="7" customFormat="false" ht="23.85" hidden="false" customHeight="false" outlineLevel="0" collapsed="false">
      <c r="A7" s="6" t="s">
        <v>178</v>
      </c>
      <c r="B7" s="6" t="s">
        <v>179</v>
      </c>
      <c r="C7" s="7" t="s">
        <v>180</v>
      </c>
      <c r="D7" s="6" t="s">
        <v>181</v>
      </c>
      <c r="E7" s="6" t="s">
        <v>182</v>
      </c>
      <c r="F7" s="6" t="s">
        <v>183</v>
      </c>
      <c r="G7" s="6" t="s">
        <v>63</v>
      </c>
      <c r="H7" s="6" t="s">
        <v>184</v>
      </c>
      <c r="I7" s="6" t="s">
        <v>185</v>
      </c>
    </row>
    <row r="8" customFormat="false" ht="23.85" hidden="false" customHeight="false" outlineLevel="0" collapsed="false">
      <c r="A8" s="6" t="s">
        <v>186</v>
      </c>
      <c r="B8" s="6" t="s">
        <v>187</v>
      </c>
      <c r="C8" s="7" t="s">
        <v>188</v>
      </c>
      <c r="D8" s="6" t="s">
        <v>189</v>
      </c>
      <c r="E8" s="6" t="s">
        <v>190</v>
      </c>
      <c r="F8" s="6" t="s">
        <v>191</v>
      </c>
      <c r="G8" s="6" t="s">
        <v>32</v>
      </c>
      <c r="H8" s="6" t="s">
        <v>192</v>
      </c>
      <c r="I8" s="6" t="s">
        <v>192</v>
      </c>
    </row>
    <row r="9" customFormat="false" ht="23.85" hidden="false" customHeight="false" outlineLevel="0" collapsed="false">
      <c r="A9" s="6" t="s">
        <v>193</v>
      </c>
      <c r="B9" s="6" t="s">
        <v>194</v>
      </c>
      <c r="C9" s="7" t="s">
        <v>195</v>
      </c>
      <c r="D9" s="6" t="s">
        <v>189</v>
      </c>
      <c r="E9" s="6" t="s">
        <v>196</v>
      </c>
      <c r="F9" s="6" t="s">
        <v>197</v>
      </c>
      <c r="G9" s="6" t="s">
        <v>32</v>
      </c>
      <c r="H9" s="6" t="s">
        <v>192</v>
      </c>
      <c r="I9" s="6" t="s">
        <v>192</v>
      </c>
    </row>
    <row r="10" customFormat="false" ht="23.85" hidden="false" customHeight="false" outlineLevel="0" collapsed="false">
      <c r="A10" s="6" t="s">
        <v>198</v>
      </c>
      <c r="B10" s="6" t="s">
        <v>199</v>
      </c>
      <c r="C10" s="7" t="s">
        <v>200</v>
      </c>
      <c r="D10" s="6" t="s">
        <v>201</v>
      </c>
      <c r="E10" s="6" t="s">
        <v>202</v>
      </c>
      <c r="F10" s="6" t="s">
        <v>203</v>
      </c>
      <c r="G10" s="6" t="s">
        <v>32</v>
      </c>
      <c r="H10" s="6" t="s">
        <v>184</v>
      </c>
      <c r="I10" s="6" t="s">
        <v>204</v>
      </c>
    </row>
    <row r="11" customFormat="false" ht="23.85" hidden="false" customHeight="false" outlineLevel="0" collapsed="false">
      <c r="A11" s="6" t="s">
        <v>205</v>
      </c>
      <c r="B11" s="6" t="s">
        <v>206</v>
      </c>
      <c r="C11" s="7" t="s">
        <v>207</v>
      </c>
      <c r="D11" s="6" t="s">
        <v>208</v>
      </c>
      <c r="E11" s="6" t="s">
        <v>209</v>
      </c>
      <c r="F11" s="6" t="s">
        <v>210</v>
      </c>
      <c r="G11" s="6" t="s">
        <v>63</v>
      </c>
      <c r="H11" s="6" t="s">
        <v>211</v>
      </c>
      <c r="I11" s="6" t="s">
        <v>212</v>
      </c>
    </row>
    <row r="12" customFormat="false" ht="23.85" hidden="false" customHeight="false" outlineLevel="0" collapsed="false">
      <c r="A12" s="6" t="s">
        <v>213</v>
      </c>
      <c r="B12" s="6" t="s">
        <v>214</v>
      </c>
      <c r="C12" s="7" t="s">
        <v>215</v>
      </c>
      <c r="D12" s="6" t="s">
        <v>216</v>
      </c>
      <c r="E12" s="6" t="s">
        <v>217</v>
      </c>
      <c r="F12" s="6" t="s">
        <v>218</v>
      </c>
      <c r="G12" s="6" t="s">
        <v>63</v>
      </c>
      <c r="H12" s="6" t="s">
        <v>211</v>
      </c>
      <c r="I12" s="6" t="s">
        <v>212</v>
      </c>
    </row>
    <row r="13" customFormat="false" ht="23.85" hidden="false" customHeight="false" outlineLevel="0" collapsed="false">
      <c r="A13" s="6" t="s">
        <v>219</v>
      </c>
      <c r="B13" s="6" t="s">
        <v>220</v>
      </c>
      <c r="C13" s="7" t="s">
        <v>221</v>
      </c>
      <c r="D13" s="6" t="s">
        <v>208</v>
      </c>
      <c r="E13" s="6" t="s">
        <v>222</v>
      </c>
      <c r="F13" s="6" t="s">
        <v>223</v>
      </c>
      <c r="G13" s="6" t="s">
        <v>63</v>
      </c>
      <c r="H13" s="6" t="s">
        <v>211</v>
      </c>
      <c r="I13" s="6" t="s">
        <v>212</v>
      </c>
    </row>
    <row r="14" customFormat="false" ht="15" hidden="false" customHeight="false" outlineLevel="0" collapsed="false">
      <c r="A14" s="6" t="s">
        <v>224</v>
      </c>
      <c r="B14" s="6" t="s">
        <v>225</v>
      </c>
      <c r="C14" s="7" t="s">
        <v>226</v>
      </c>
      <c r="D14" s="6" t="s">
        <v>227</v>
      </c>
      <c r="E14" s="6" t="s">
        <v>228</v>
      </c>
      <c r="F14" s="6" t="s">
        <v>229</v>
      </c>
      <c r="G14" s="6" t="s">
        <v>32</v>
      </c>
      <c r="H14" s="6" t="s">
        <v>230</v>
      </c>
      <c r="I14" s="6" t="s">
        <v>231</v>
      </c>
    </row>
    <row r="15" customFormat="false" ht="23.85" hidden="false" customHeight="false" outlineLevel="0" collapsed="false">
      <c r="A15" s="6" t="s">
        <v>232</v>
      </c>
      <c r="B15" s="6" t="s">
        <v>233</v>
      </c>
      <c r="C15" s="7" t="s">
        <v>234</v>
      </c>
      <c r="D15" s="6" t="s">
        <v>235</v>
      </c>
      <c r="E15" s="6" t="s">
        <v>236</v>
      </c>
      <c r="F15" s="6" t="s">
        <v>237</v>
      </c>
      <c r="G15" s="6" t="s">
        <v>63</v>
      </c>
      <c r="H15" s="6" t="s">
        <v>238</v>
      </c>
      <c r="I15" s="6" t="s">
        <v>239</v>
      </c>
    </row>
    <row r="16" customFormat="false" ht="23.85" hidden="false" customHeight="false" outlineLevel="0" collapsed="false">
      <c r="A16" s="6" t="s">
        <v>240</v>
      </c>
      <c r="B16" s="6" t="s">
        <v>241</v>
      </c>
      <c r="C16" s="7" t="s">
        <v>242</v>
      </c>
      <c r="D16" s="6" t="s">
        <v>235</v>
      </c>
      <c r="E16" s="6" t="s">
        <v>243</v>
      </c>
      <c r="F16" s="6" t="s">
        <v>244</v>
      </c>
      <c r="G16" s="6" t="s">
        <v>63</v>
      </c>
      <c r="H16" s="6" t="s">
        <v>245</v>
      </c>
      <c r="I16" s="6" t="s">
        <v>246</v>
      </c>
    </row>
    <row r="17" customFormat="false" ht="15" hidden="false" customHeight="false" outlineLevel="0" collapsed="false">
      <c r="A17" s="6" t="s">
        <v>247</v>
      </c>
      <c r="B17" s="6" t="s">
        <v>248</v>
      </c>
      <c r="C17" s="7" t="s">
        <v>249</v>
      </c>
      <c r="D17" s="6" t="s">
        <v>250</v>
      </c>
      <c r="E17" s="6" t="s">
        <v>251</v>
      </c>
      <c r="F17" s="6" t="s">
        <v>252</v>
      </c>
      <c r="G17" s="6" t="s">
        <v>63</v>
      </c>
      <c r="H17" s="6" t="s">
        <v>253</v>
      </c>
      <c r="I17" s="6" t="s">
        <v>254</v>
      </c>
    </row>
    <row r="18" customFormat="false" ht="35.05" hidden="false" customHeight="false" outlineLevel="0" collapsed="false">
      <c r="A18" s="6" t="s">
        <v>255</v>
      </c>
      <c r="B18" s="6" t="s">
        <v>256</v>
      </c>
      <c r="C18" s="7" t="s">
        <v>257</v>
      </c>
      <c r="D18" s="6" t="s">
        <v>258</v>
      </c>
      <c r="E18" s="6" t="s">
        <v>259</v>
      </c>
      <c r="F18" s="6" t="s">
        <v>260</v>
      </c>
      <c r="G18" s="6" t="s">
        <v>32</v>
      </c>
      <c r="H18" s="6" t="s">
        <v>261</v>
      </c>
      <c r="I18" s="6" t="s">
        <v>262</v>
      </c>
    </row>
    <row r="19" customFormat="false" ht="23.85" hidden="false" customHeight="false" outlineLevel="0" collapsed="false">
      <c r="A19" s="6" t="s">
        <v>263</v>
      </c>
      <c r="B19" s="6" t="s">
        <v>264</v>
      </c>
      <c r="C19" s="7" t="s">
        <v>265</v>
      </c>
      <c r="D19" s="6" t="s">
        <v>266</v>
      </c>
      <c r="E19" s="6" t="s">
        <v>267</v>
      </c>
      <c r="F19" s="6" t="s">
        <v>268</v>
      </c>
      <c r="G19" s="6" t="s">
        <v>175</v>
      </c>
      <c r="H19" s="6" t="s">
        <v>176</v>
      </c>
      <c r="I19" s="6" t="s">
        <v>269</v>
      </c>
    </row>
    <row r="20" customFormat="false" ht="23.85" hidden="false" customHeight="false" outlineLevel="0" collapsed="false">
      <c r="A20" s="6" t="s">
        <v>270</v>
      </c>
      <c r="B20" s="6" t="s">
        <v>271</v>
      </c>
      <c r="C20" s="7" t="s">
        <v>272</v>
      </c>
      <c r="D20" s="6" t="s">
        <v>273</v>
      </c>
      <c r="E20" s="6" t="s">
        <v>274</v>
      </c>
      <c r="F20" s="6" t="s">
        <v>275</v>
      </c>
      <c r="G20" s="6" t="s">
        <v>175</v>
      </c>
      <c r="H20" s="6" t="s">
        <v>276</v>
      </c>
      <c r="I20" s="6" t="s">
        <v>192</v>
      </c>
    </row>
    <row r="21" customFormat="false" ht="15" hidden="false" customHeight="false" outlineLevel="0" collapsed="false">
      <c r="A21" s="6" t="s">
        <v>277</v>
      </c>
      <c r="B21" s="6" t="s">
        <v>278</v>
      </c>
      <c r="C21" s="7" t="s">
        <v>279</v>
      </c>
      <c r="D21" s="6" t="s">
        <v>280</v>
      </c>
      <c r="E21" s="6" t="s">
        <v>281</v>
      </c>
      <c r="F21" s="6" t="s">
        <v>275</v>
      </c>
      <c r="G21" s="6" t="s">
        <v>175</v>
      </c>
      <c r="H21" s="6" t="s">
        <v>282</v>
      </c>
      <c r="I21" s="6" t="s">
        <v>283</v>
      </c>
    </row>
    <row r="22" customFormat="false" ht="23.85" hidden="false" customHeight="false" outlineLevel="0" collapsed="false">
      <c r="A22" s="6" t="s">
        <v>284</v>
      </c>
      <c r="B22" s="6" t="s">
        <v>285</v>
      </c>
      <c r="C22" s="7" t="s">
        <v>286</v>
      </c>
      <c r="D22" s="6" t="s">
        <v>287</v>
      </c>
      <c r="E22" s="6" t="s">
        <v>288</v>
      </c>
      <c r="F22" s="6" t="s">
        <v>275</v>
      </c>
      <c r="G22" s="6" t="s">
        <v>175</v>
      </c>
      <c r="H22" s="6" t="s">
        <v>289</v>
      </c>
      <c r="I22" s="6" t="s">
        <v>290</v>
      </c>
    </row>
    <row r="23" customFormat="false" ht="15" hidden="false" customHeight="false" outlineLevel="0" collapsed="false">
      <c r="A23" s="6" t="s">
        <v>291</v>
      </c>
      <c r="B23" s="6" t="s">
        <v>292</v>
      </c>
      <c r="C23" s="7" t="s">
        <v>293</v>
      </c>
      <c r="D23" s="6" t="s">
        <v>287</v>
      </c>
      <c r="E23" s="6" t="s">
        <v>288</v>
      </c>
      <c r="F23" s="6" t="s">
        <v>275</v>
      </c>
      <c r="G23" s="6" t="s">
        <v>175</v>
      </c>
      <c r="H23" s="6" t="s">
        <v>230</v>
      </c>
      <c r="I23" s="6" t="s">
        <v>294</v>
      </c>
    </row>
    <row r="24" customFormat="false" ht="15" hidden="false" customHeight="false" outlineLevel="0" collapsed="false">
      <c r="A24" s="6" t="s">
        <v>295</v>
      </c>
      <c r="B24" s="6" t="s">
        <v>296</v>
      </c>
      <c r="C24" s="7" t="s">
        <v>297</v>
      </c>
      <c r="D24" s="6" t="s">
        <v>250</v>
      </c>
      <c r="E24" s="6" t="s">
        <v>288</v>
      </c>
      <c r="F24" s="6" t="s">
        <v>298</v>
      </c>
      <c r="G24" s="6" t="s">
        <v>175</v>
      </c>
      <c r="H24" s="6" t="s">
        <v>299</v>
      </c>
      <c r="I24" s="6" t="s">
        <v>300</v>
      </c>
    </row>
    <row r="25" customFormat="false" ht="15" hidden="false" customHeight="false" outlineLevel="0" collapsed="false">
      <c r="A25" s="6" t="s">
        <v>301</v>
      </c>
      <c r="B25" s="6" t="s">
        <v>302</v>
      </c>
      <c r="C25" s="7" t="s">
        <v>303</v>
      </c>
      <c r="D25" s="6" t="s">
        <v>304</v>
      </c>
      <c r="E25" s="6" t="s">
        <v>288</v>
      </c>
      <c r="F25" s="6" t="s">
        <v>275</v>
      </c>
      <c r="G25" s="6" t="s">
        <v>175</v>
      </c>
      <c r="H25" s="6" t="s">
        <v>167</v>
      </c>
      <c r="I25" s="6" t="s">
        <v>305</v>
      </c>
    </row>
    <row r="26" customFormat="false" ht="15" hidden="false" customHeight="false" outlineLevel="0" collapsed="false">
      <c r="A26" s="6" t="s">
        <v>306</v>
      </c>
      <c r="B26" s="6" t="s">
        <v>307</v>
      </c>
      <c r="C26" s="7" t="s">
        <v>308</v>
      </c>
      <c r="D26" s="6" t="s">
        <v>309</v>
      </c>
      <c r="E26" s="6" t="s">
        <v>310</v>
      </c>
      <c r="F26" s="6" t="s">
        <v>275</v>
      </c>
      <c r="G26" s="6" t="s">
        <v>32</v>
      </c>
      <c r="H26" s="6" t="s">
        <v>167</v>
      </c>
      <c r="I26" s="6" t="s">
        <v>311</v>
      </c>
    </row>
    <row r="27" customFormat="false" ht="15" hidden="false" customHeight="false" outlineLevel="0" collapsed="false">
      <c r="A27" s="6" t="s">
        <v>312</v>
      </c>
      <c r="B27" s="6" t="s">
        <v>313</v>
      </c>
      <c r="C27" s="7" t="s">
        <v>314</v>
      </c>
      <c r="D27" s="6" t="s">
        <v>250</v>
      </c>
      <c r="E27" s="6" t="s">
        <v>251</v>
      </c>
      <c r="F27" s="6" t="s">
        <v>315</v>
      </c>
      <c r="G27" s="6" t="s">
        <v>63</v>
      </c>
      <c r="H27" s="6" t="s">
        <v>253</v>
      </c>
      <c r="I27" s="6" t="s">
        <v>254</v>
      </c>
    </row>
    <row r="28" customFormat="false" ht="15" hidden="false" customHeight="false" outlineLevel="0" collapsed="false">
      <c r="A28" s="6" t="s">
        <v>316</v>
      </c>
      <c r="B28" s="6" t="s">
        <v>317</v>
      </c>
      <c r="C28" s="7" t="s">
        <v>318</v>
      </c>
      <c r="D28" s="6" t="s">
        <v>280</v>
      </c>
      <c r="E28" s="6" t="s">
        <v>288</v>
      </c>
      <c r="F28" s="6" t="s">
        <v>275</v>
      </c>
      <c r="G28" s="6" t="s">
        <v>175</v>
      </c>
      <c r="H28" s="6" t="s">
        <v>230</v>
      </c>
      <c r="I28" s="6" t="s">
        <v>294</v>
      </c>
    </row>
    <row r="29" customFormat="false" ht="15" hidden="false" customHeight="false" outlineLevel="0" collapsed="false">
      <c r="A29" s="6" t="s">
        <v>319</v>
      </c>
      <c r="B29" s="6" t="s">
        <v>320</v>
      </c>
      <c r="C29" s="7" t="s">
        <v>321</v>
      </c>
      <c r="D29" s="6" t="s">
        <v>287</v>
      </c>
      <c r="E29" s="6" t="s">
        <v>288</v>
      </c>
      <c r="F29" s="6" t="s">
        <v>275</v>
      </c>
      <c r="G29" s="6" t="s">
        <v>175</v>
      </c>
      <c r="H29" s="6" t="s">
        <v>184</v>
      </c>
      <c r="I29" s="6" t="s">
        <v>204</v>
      </c>
    </row>
    <row r="30" customFormat="false" ht="15" hidden="false" customHeight="false" outlineLevel="0" collapsed="false">
      <c r="A30" s="6" t="s">
        <v>322</v>
      </c>
      <c r="B30" s="6" t="s">
        <v>323</v>
      </c>
      <c r="C30" s="7" t="s">
        <v>324</v>
      </c>
      <c r="D30" s="6" t="s">
        <v>287</v>
      </c>
      <c r="E30" s="6" t="s">
        <v>288</v>
      </c>
      <c r="F30" s="6" t="s">
        <v>275</v>
      </c>
      <c r="G30" s="6" t="s">
        <v>175</v>
      </c>
      <c r="H30" s="6" t="s">
        <v>289</v>
      </c>
      <c r="I30" s="6" t="s">
        <v>290</v>
      </c>
    </row>
  </sheetData>
  <autoFilter ref="A4:I30"/>
  <conditionalFormatting sqref="G5:G30">
    <cfRule type="expression" priority="2" aboveAverage="0" equalAverage="0" bottom="0" percent="0" rank="0" text="" dxfId="5">
      <formula>$G5="Alto"</formula>
    </cfRule>
    <cfRule type="expression" priority="3" aboveAverage="0" equalAverage="0" bottom="0" percent="0" rank="0" text="" dxfId="6">
      <formula>$G5="Medio"</formula>
    </cfRule>
  </conditionalFormatting>
  <hyperlinks>
    <hyperlink ref="C5" r:id="rId1" display="https://www.inegi.org.mx/igae"/>
    <hyperlink ref="C6" r:id="rId2" display="https://www.banxico.org.mx/publications-and-press/announcements-of-monetary-policy-decisions/monetary-policy-announcements.html"/>
    <hyperlink ref="C7" r:id="rId3" display="https://www.gob.mx/se/prensa/mexico-registra-un-maximo-historico-de-inversion-extranjera-directa-ied-para-un-primer-semestre-34-mil-968-millones-de-dolares-en-2026?idiom=en"/>
    <hyperlink ref="C8" r:id="rId4" display="https://ustr.gov/about/policy-offices/press-office/press-releases/2026/july/ambassador-greer-issues-statement-usmca-joint-review"/>
    <hyperlink ref="C9" r:id="rId5" display="https://www.ustr.gov/about/policy-offices/press-office/press-releases/2026/october/ustr-seeks-public-comment-2027-joint-review-usmca"/>
    <hyperlink ref="C10" r:id="rId6" display="https://www.gob.mx/se/acciones-y-programas/competitividad-y-normatividad-inversion-extranjera-directa"/>
    <hyperlink ref="C11" r:id="rId7" display="https://wwwmat.sat.gob.mx/articulo/93578/articulo-9"/>
    <hyperlink ref="C12" r:id="rId8" display="https://wwwmatnp.sat.gob.mx/articulo/19848/articulo-1"/>
    <hyperlink ref="C13" r:id="rId9" display="https://wwwmat.sat.gob.mx/articulo/76538/articulo-164"/>
    <hyperlink ref="C14" r:id="rId10" display="https://www.imss.gob.mx/prensa/archivo/202610/539"/>
    <hyperlink ref="C15" r:id="rId11" display="https://sidofqa.segob.gob.mx/notas/docFuente/5775534"/>
    <hyperlink ref="C16" r:id="rId12" display="https://sidof.segob.gob.mx/notas/5786537"/>
    <hyperlink ref="C17" r:id="rId13" display="https://www.gob.mx/stps/es/articulos/la-profedet-es-tu-aliada-en-el-pago-del-aguinaldo-conoce-todo-sobre-este-tema-y-haz-valer-tu-derecho-183140?idiom=es"/>
    <hyperlink ref="C18" r:id="rId14" display="https://indices.imco.org.mx/indice-de-competitividad-estatal-2026"/>
    <hyperlink ref="C19" r:id="rId15" display="https://www.banxico.org.mx/publicaciones-y-prensa/reportes-sobre-las-economias-regionales/reportes-economias-regionales.html"/>
    <hyperlink ref="C20" r:id="rId16" display="https://www.gob.mx/sict/documentos/anuario-estadistico-del-sector-de-infraestructura-comunicaciones-y-transportes-2025"/>
    <hyperlink ref="C21" r:id="rId17" display="https://www.ventanillaunica.gob.mx/vucem/"/>
    <hyperlink ref="C22" r:id="rId18" display="https://www.gob.mx/tramites/ficha/inscripcion-en-el-rfc-de-personas-morales-a-traves-de-fedatario-publico-por-medios-remotos/SAT285"/>
    <hyperlink ref="C23" r:id="rId19" display="https://www.imss.gob.mx/tramites/imss02001c"/>
    <hyperlink ref="C24" r:id="rId20" display="https://www.gob.mx/impi/acciones-y-programas/temas-de-interes-preguntas-frecuentes-marcas"/>
    <hyperlink ref="C25" r:id="rId21" display="https://www.inegi.org.mx/app/mapa/denue/"/>
    <hyperlink ref="C26" r:id="rId22" display="https://www.inegi.org.mx/programas/ENOE/15ymas/"/>
    <hyperlink ref="C27" r:id="rId23" display="https://profedet.gob.mx/micrositio/index.php/vacaciones"/>
    <hyperlink ref="C28" r:id="rId24" display="https://www.imss.gob.mx/imssdigital/"/>
    <hyperlink ref="C29" r:id="rId25" display="https://www.gob.mx/se/acciones-y-programas/solicitud-de-inscripcion-en-el-registro-nacional-de-inversiones-extranjeras-de-sociedades-mexicanas-con-inversion-extranjera-se-02-001-b"/>
    <hyperlink ref="C30" r:id="rId26" display="https://www.gob.mx/tramites/ficha/inscripcion-en-el-rfc-de-personas-morales-en-las-oficinas-del-sat/SAT1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5" t="s">
        <v>327</v>
      </c>
      <c r="B4" s="5" t="s">
        <v>328</v>
      </c>
      <c r="C4" s="5" t="s">
        <v>329</v>
      </c>
      <c r="D4" s="5" t="s">
        <v>330</v>
      </c>
    </row>
    <row r="5" customFormat="false" ht="23.85" hidden="false" customHeight="false" outlineLevel="0" collapsed="false">
      <c r="A5" s="6" t="s">
        <v>331</v>
      </c>
      <c r="B5" s="6" t="s">
        <v>332</v>
      </c>
      <c r="C5" s="6" t="s">
        <v>333</v>
      </c>
      <c r="D5" s="6" t="s">
        <v>334</v>
      </c>
    </row>
    <row r="6" customFormat="false" ht="23.85" hidden="false" customHeight="false" outlineLevel="0" collapsed="false">
      <c r="A6" s="6" t="s">
        <v>335</v>
      </c>
      <c r="B6" s="6" t="s">
        <v>336</v>
      </c>
      <c r="C6" s="6" t="s">
        <v>337</v>
      </c>
      <c r="D6" s="6" t="s">
        <v>338</v>
      </c>
    </row>
    <row r="7" customFormat="false" ht="15" hidden="false" customHeight="false" outlineLevel="0" collapsed="false">
      <c r="A7" s="6" t="s">
        <v>339</v>
      </c>
      <c r="B7" s="6" t="s">
        <v>340</v>
      </c>
      <c r="C7" s="6" t="s">
        <v>341</v>
      </c>
      <c r="D7" s="6" t="s">
        <v>342</v>
      </c>
    </row>
    <row r="8" customFormat="false" ht="35.05" hidden="false" customHeight="false" outlineLevel="0" collapsed="false">
      <c r="A8" s="6" t="s">
        <v>343</v>
      </c>
      <c r="B8" s="6" t="s">
        <v>275</v>
      </c>
      <c r="C8" s="6" t="s">
        <v>344</v>
      </c>
      <c r="D8" s="6" t="s">
        <v>345</v>
      </c>
    </row>
    <row r="9" customFormat="false" ht="35.05" hidden="false" customHeight="false" outlineLevel="0" collapsed="false">
      <c r="A9" s="6" t="s">
        <v>275</v>
      </c>
      <c r="B9" s="6" t="s">
        <v>346</v>
      </c>
      <c r="C9" s="6" t="s">
        <v>347</v>
      </c>
      <c r="D9" s="6" t="s">
        <v>348</v>
      </c>
    </row>
    <row r="10" customFormat="false" ht="35.05" hidden="false" customHeight="false" outlineLevel="0" collapsed="false">
      <c r="A10" s="6" t="s">
        <v>349</v>
      </c>
      <c r="B10" s="6" t="s">
        <v>350</v>
      </c>
      <c r="C10" s="6" t="s">
        <v>351</v>
      </c>
      <c r="D10" s="6" t="s">
        <v>352</v>
      </c>
    </row>
    <row r="11" customFormat="false" ht="23.85" hidden="false" customHeight="false" outlineLevel="0" collapsed="false">
      <c r="A11" s="6" t="s">
        <v>353</v>
      </c>
      <c r="B11" s="6" t="s">
        <v>354</v>
      </c>
      <c r="C11" s="6" t="s">
        <v>355</v>
      </c>
      <c r="D11" s="6" t="s">
        <v>356</v>
      </c>
    </row>
    <row r="12" customFormat="false" ht="23.85" hidden="false" customHeight="false" outlineLevel="0" collapsed="false">
      <c r="A12" s="6" t="s">
        <v>357</v>
      </c>
      <c r="B12" s="6" t="s">
        <v>358</v>
      </c>
      <c r="C12" s="6" t="s">
        <v>359</v>
      </c>
      <c r="D12" s="6" t="s">
        <v>360</v>
      </c>
    </row>
  </sheetData>
  <autoFilter ref="A4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362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363</v>
      </c>
      <c r="D4" s="5" t="s">
        <v>364</v>
      </c>
      <c r="E4" s="5" t="s">
        <v>365</v>
      </c>
      <c r="F4" s="5" t="s">
        <v>366</v>
      </c>
    </row>
    <row r="5" customFormat="false" ht="35.05" hidden="false" customHeight="false" outlineLevel="0" collapsed="false">
      <c r="A5" s="6" t="s">
        <v>367</v>
      </c>
      <c r="B5" s="6" t="n">
        <v>1</v>
      </c>
      <c r="C5" s="6" t="s">
        <v>368</v>
      </c>
      <c r="D5" s="6" t="s">
        <v>369</v>
      </c>
      <c r="E5" s="6" t="s">
        <v>370</v>
      </c>
      <c r="F5" s="6" t="s">
        <v>371</v>
      </c>
    </row>
    <row r="6" customFormat="false" ht="23.85" hidden="false" customHeight="false" outlineLevel="0" collapsed="false">
      <c r="A6" s="6" t="s">
        <v>372</v>
      </c>
      <c r="B6" s="6" t="n">
        <v>11</v>
      </c>
      <c r="C6" s="6" t="s">
        <v>368</v>
      </c>
      <c r="D6" s="6" t="s">
        <v>373</v>
      </c>
      <c r="E6" s="6" t="s">
        <v>374</v>
      </c>
      <c r="F6" s="6" t="s">
        <v>375</v>
      </c>
    </row>
    <row r="7" customFormat="false" ht="23.85" hidden="false" customHeight="false" outlineLevel="0" collapsed="false">
      <c r="A7" s="6" t="s">
        <v>376</v>
      </c>
      <c r="B7" s="6" t="s">
        <v>377</v>
      </c>
      <c r="C7" s="6" t="s">
        <v>368</v>
      </c>
      <c r="D7" s="6" t="s">
        <v>378</v>
      </c>
      <c r="E7" s="6" t="s">
        <v>374</v>
      </c>
      <c r="F7" s="6" t="s">
        <v>379</v>
      </c>
    </row>
    <row r="8" customFormat="false" ht="15" hidden="false" customHeight="false" outlineLevel="0" collapsed="false">
      <c r="A8" s="6" t="s">
        <v>380</v>
      </c>
      <c r="B8" s="6" t="n">
        <v>18</v>
      </c>
      <c r="C8" s="6" t="s">
        <v>368</v>
      </c>
      <c r="D8" s="6" t="s">
        <v>381</v>
      </c>
      <c r="E8" s="6" t="s">
        <v>374</v>
      </c>
      <c r="F8" s="6" t="s">
        <v>382</v>
      </c>
    </row>
    <row r="9" customFormat="false" ht="15" hidden="false" customHeight="false" outlineLevel="0" collapsed="false">
      <c r="A9" s="6" t="s">
        <v>383</v>
      </c>
      <c r="B9" s="6" t="n">
        <v>7</v>
      </c>
      <c r="C9" s="6" t="s">
        <v>368</v>
      </c>
      <c r="D9" s="6" t="s">
        <v>384</v>
      </c>
      <c r="E9" s="6" t="s">
        <v>374</v>
      </c>
      <c r="F9" s="6" t="s">
        <v>385</v>
      </c>
    </row>
    <row r="10" customFormat="false" ht="15" hidden="false" customHeight="false" outlineLevel="0" collapsed="false">
      <c r="A10" s="6" t="s">
        <v>386</v>
      </c>
      <c r="B10" s="6" t="s">
        <v>387</v>
      </c>
      <c r="C10" s="6" t="s">
        <v>388</v>
      </c>
      <c r="D10" s="6" t="s">
        <v>389</v>
      </c>
      <c r="E10" s="6" t="s">
        <v>374</v>
      </c>
      <c r="F10" s="6" t="s">
        <v>390</v>
      </c>
    </row>
    <row r="11" customFormat="false" ht="23.85" hidden="false" customHeight="false" outlineLevel="0" collapsed="false">
      <c r="A11" s="6" t="s">
        <v>391</v>
      </c>
      <c r="B11" s="6" t="s">
        <v>392</v>
      </c>
      <c r="C11" s="6" t="s">
        <v>393</v>
      </c>
      <c r="D11" s="6" t="s">
        <v>394</v>
      </c>
      <c r="E11" s="6" t="s">
        <v>374</v>
      </c>
      <c r="F11" s="6" t="s">
        <v>395</v>
      </c>
    </row>
    <row r="12" customFormat="false" ht="15" hidden="false" customHeight="false" outlineLevel="0" collapsed="false">
      <c r="A12" s="6" t="s">
        <v>396</v>
      </c>
      <c r="B12" s="6" t="n">
        <v>5</v>
      </c>
      <c r="C12" s="6" t="s">
        <v>397</v>
      </c>
      <c r="D12" s="6" t="s">
        <v>398</v>
      </c>
      <c r="E12" s="6" t="s">
        <v>374</v>
      </c>
      <c r="F12" s="6" t="s">
        <v>399</v>
      </c>
    </row>
    <row r="13" customFormat="false" ht="15" hidden="false" customHeight="false" outlineLevel="0" collapsed="false">
      <c r="A13" s="6" t="s">
        <v>400</v>
      </c>
      <c r="B13" s="6" t="s">
        <v>401</v>
      </c>
      <c r="C13" s="6" t="s">
        <v>402</v>
      </c>
      <c r="D13" s="6" t="s">
        <v>403</v>
      </c>
      <c r="E13" s="6" t="s">
        <v>374</v>
      </c>
      <c r="F13" s="6" t="s">
        <v>404</v>
      </c>
    </row>
    <row r="14" customFormat="false" ht="15" hidden="false" customHeight="false" outlineLevel="0" collapsed="false">
      <c r="A14" s="6" t="s">
        <v>405</v>
      </c>
      <c r="B14" s="6" t="n">
        <v>2</v>
      </c>
      <c r="C14" s="6" t="s">
        <v>406</v>
      </c>
      <c r="D14" s="6" t="s">
        <v>407</v>
      </c>
      <c r="E14" s="6" t="s">
        <v>374</v>
      </c>
      <c r="F14" s="6" t="s">
        <v>408</v>
      </c>
    </row>
    <row r="15" customFormat="false" ht="15" hidden="false" customHeight="false" outlineLevel="0" collapsed="false">
      <c r="A15" s="6" t="s">
        <v>409</v>
      </c>
      <c r="B15" s="6" t="s">
        <v>410</v>
      </c>
      <c r="C15" s="6" t="s">
        <v>411</v>
      </c>
      <c r="D15" s="6" t="s">
        <v>412</v>
      </c>
      <c r="E15" s="6" t="s">
        <v>374</v>
      </c>
      <c r="F15" s="6" t="s">
        <v>413</v>
      </c>
    </row>
    <row r="16" customFormat="false" ht="15" hidden="false" customHeight="false" outlineLevel="0" collapsed="false">
      <c r="A16" s="6" t="s">
        <v>414</v>
      </c>
      <c r="B16" s="6" t="n">
        <v>18</v>
      </c>
      <c r="C16" s="6" t="s">
        <v>411</v>
      </c>
      <c r="D16" s="6" t="s">
        <v>415</v>
      </c>
      <c r="E16" s="6" t="s">
        <v>374</v>
      </c>
      <c r="F16" s="6" t="s">
        <v>416</v>
      </c>
    </row>
    <row r="17" customFormat="false" ht="23.85" hidden="false" customHeight="false" outlineLevel="0" collapsed="false">
      <c r="A17" s="6" t="s">
        <v>417</v>
      </c>
      <c r="B17" s="6" t="s">
        <v>410</v>
      </c>
      <c r="C17" s="6" t="s">
        <v>418</v>
      </c>
      <c r="D17" s="6" t="s">
        <v>419</v>
      </c>
      <c r="E17" s="6" t="s">
        <v>420</v>
      </c>
      <c r="F17" s="6" t="s">
        <v>421</v>
      </c>
    </row>
    <row r="18" customFormat="false" ht="23.85" hidden="false" customHeight="false" outlineLevel="0" collapsed="false">
      <c r="A18" s="6" t="s">
        <v>422</v>
      </c>
      <c r="B18" s="6" t="n">
        <v>19</v>
      </c>
      <c r="C18" s="6" t="s">
        <v>418</v>
      </c>
      <c r="D18" s="6" t="s">
        <v>423</v>
      </c>
      <c r="E18" s="6" t="s">
        <v>420</v>
      </c>
      <c r="F18" s="6" t="s">
        <v>424</v>
      </c>
    </row>
    <row r="19" customFormat="false" ht="35.05" hidden="false" customHeight="false" outlineLevel="0" collapsed="false">
      <c r="A19" s="6" t="s">
        <v>425</v>
      </c>
      <c r="B19" s="6" t="s">
        <v>426</v>
      </c>
      <c r="C19" s="6" t="s">
        <v>427</v>
      </c>
      <c r="D19" s="6" t="s">
        <v>428</v>
      </c>
      <c r="E19" s="6" t="s">
        <v>420</v>
      </c>
      <c r="F19" s="6" t="s">
        <v>429</v>
      </c>
    </row>
    <row r="20" customFormat="false" ht="15" hidden="false" customHeight="false" outlineLevel="0" collapsed="false">
      <c r="A20" s="6" t="s">
        <v>430</v>
      </c>
      <c r="B20" s="6" t="s">
        <v>431</v>
      </c>
      <c r="C20" s="6" t="s">
        <v>432</v>
      </c>
      <c r="D20" s="6" t="s">
        <v>433</v>
      </c>
      <c r="E20" s="6" t="s">
        <v>374</v>
      </c>
      <c r="F20" s="6" t="s">
        <v>434</v>
      </c>
    </row>
    <row r="21" customFormat="false" ht="23.85" hidden="false" customHeight="false" outlineLevel="0" collapsed="false">
      <c r="A21" s="6" t="s">
        <v>435</v>
      </c>
      <c r="B21" s="6" t="s">
        <v>431</v>
      </c>
      <c r="C21" s="6" t="s">
        <v>436</v>
      </c>
      <c r="D21" s="6" t="s">
        <v>437</v>
      </c>
      <c r="E21" s="6" t="s">
        <v>438</v>
      </c>
      <c r="F21" s="6" t="s">
        <v>439</v>
      </c>
    </row>
  </sheetData>
  <autoFilter ref="A4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2026-10-16T16:08:22Z</dcterms:created>
  <dc:creator>openpyxl</dc:creator>
  <dc:description/>
  <dc:language>en-US</dc:language>
  <cp:lastModifiedBy/>
  <dcterms:modified xsi:type="dcterms:W3CDTF">2026-10-16T16:08:22Z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